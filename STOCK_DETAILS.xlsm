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amilia\Desktop\Proyectos\RepoEquity\Equity-research\"/>
    </mc:Choice>
  </mc:AlternateContent>
  <bookViews>
    <workbookView xWindow="0" yWindow="0" windowWidth="20490" windowHeight="7650" activeTab="1"/>
  </bookViews>
  <sheets>
    <sheet name="SUMMARY" sheetId="1" r:id="rId1"/>
    <sheet name="ROP" sheetId="2" r:id="rId2"/>
  </sheets>
  <calcPr calcId="162913"/>
</workbook>
</file>

<file path=xl/calcChain.xml><?xml version="1.0" encoding="utf-8"?>
<calcChain xmlns="http://schemas.openxmlformats.org/spreadsheetml/2006/main">
  <c r="D14" i="1" l="1"/>
  <c r="C14" i="1"/>
  <c r="D13" i="1"/>
  <c r="C13" i="1"/>
</calcChain>
</file>

<file path=xl/sharedStrings.xml><?xml version="1.0" encoding="utf-8"?>
<sst xmlns="http://schemas.openxmlformats.org/spreadsheetml/2006/main" count="97" uniqueCount="81">
  <si>
    <t>Symbol to add:</t>
  </si>
  <si>
    <t>ROP</t>
  </si>
  <si>
    <t>If the symbol you try to add already exists, it refreshes</t>
  </si>
  <si>
    <t xml:space="preserve">Delay: </t>
  </si>
  <si>
    <t>Delay of loading web page in seconds (bad internet -&gt; higher number), around 2.5 should be good</t>
  </si>
  <si>
    <t>Name</t>
  </si>
  <si>
    <t>Symbol</t>
  </si>
  <si>
    <t>Quantity</t>
  </si>
  <si>
    <t>Cost per share</t>
  </si>
  <si>
    <t>Total cost</t>
  </si>
  <si>
    <t>Market value</t>
  </si>
  <si>
    <t>Percent gain/loss</t>
  </si>
  <si>
    <t>Gross Margin</t>
  </si>
  <si>
    <t xml:space="preserve">Net Margin </t>
  </si>
  <si>
    <t>Current Ratio</t>
  </si>
  <si>
    <t>Debt to Equity Ratio</t>
  </si>
  <si>
    <t>Roper Technologies</t>
  </si>
  <si>
    <t>DXPE Technologies</t>
  </si>
  <si>
    <t>DXPE</t>
  </si>
  <si>
    <t xml:space="preserve">My email is </t>
  </si>
  <si>
    <t>duminda_dewa@yahoo.com</t>
  </si>
  <si>
    <t>if you want to reach me directly in the future</t>
  </si>
  <si>
    <t>Date</t>
  </si>
  <si>
    <t>Qty</t>
  </si>
  <si>
    <t>Total Cost</t>
  </si>
  <si>
    <t>Last Reviewed</t>
  </si>
  <si>
    <t>2024/06/30</t>
  </si>
  <si>
    <t>CHECKLIST - Why should I NOT buy ?</t>
  </si>
  <si>
    <t>Company</t>
  </si>
  <si>
    <t>Asymetric Risk - High downside, Low upside</t>
  </si>
  <si>
    <t>Stock ticker</t>
  </si>
  <si>
    <t>Potential for technology disruption</t>
  </si>
  <si>
    <t>My Money</t>
  </si>
  <si>
    <t>Inversion - What could kill the company ?</t>
  </si>
  <si>
    <t>High Cyclical Variation ?</t>
  </si>
  <si>
    <t>Am I paying too high price ?</t>
  </si>
  <si>
    <t>Current price</t>
  </si>
  <si>
    <t>Is there anything I don’t know ?</t>
  </si>
  <si>
    <t>My average cost per share</t>
  </si>
  <si>
    <t>Fair value of the stock</t>
  </si>
  <si>
    <t>When to buy crazy</t>
  </si>
  <si>
    <t>FCF per share</t>
  </si>
  <si>
    <t>Data</t>
  </si>
  <si>
    <t>Value</t>
  </si>
  <si>
    <t>Type</t>
  </si>
  <si>
    <t>CHECKLIST - Why should I buy ?</t>
  </si>
  <si>
    <t>Revenue</t>
  </si>
  <si>
    <t>Billion TTM</t>
  </si>
  <si>
    <t>Fair Price today</t>
  </si>
  <si>
    <t>Expenses</t>
  </si>
  <si>
    <t>Quality of Management, Culture, Long Tenure</t>
  </si>
  <si>
    <t>Net income</t>
  </si>
  <si>
    <t>Low Debt</t>
  </si>
  <si>
    <t>Net income margin</t>
  </si>
  <si>
    <t>%</t>
  </si>
  <si>
    <t>Asymetric potential - Low downside, High upside</t>
  </si>
  <si>
    <t>EPS</t>
  </si>
  <si>
    <t>Growth Potential - scale 10x in 10yrs</t>
  </si>
  <si>
    <t>PE ratio</t>
  </si>
  <si>
    <t>Can it withstand a big recession ?</t>
  </si>
  <si>
    <t>Assets</t>
  </si>
  <si>
    <t>Liabilities</t>
  </si>
  <si>
    <t>Book value (Share equity)</t>
  </si>
  <si>
    <t>Current ratio</t>
  </si>
  <si>
    <t>TTM (Assets TTM / Liabilities TTM)</t>
  </si>
  <si>
    <t>Debt to equity</t>
  </si>
  <si>
    <t>Market cap</t>
  </si>
  <si>
    <t>Num shares</t>
  </si>
  <si>
    <t>Billion</t>
  </si>
  <si>
    <t>Dividend</t>
  </si>
  <si>
    <t>Free cash flow</t>
  </si>
  <si>
    <t>SGA</t>
  </si>
  <si>
    <t>SGA margin</t>
  </si>
  <si>
    <t>Gross profit</t>
  </si>
  <si>
    <t>Gross margin</t>
  </si>
  <si>
    <t>Cash on hand</t>
  </si>
  <si>
    <t>Cash on hand TTM</t>
  </si>
  <si>
    <t>Long term debt</t>
  </si>
  <si>
    <t>Long term debt TTM</t>
  </si>
  <si>
    <t>Roi</t>
  </si>
  <si>
    <t>Book value TTM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</si>
</sst>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ptos Display"/>
      <family val="2"/>
    </font>
    <font>
      <sz val="11"/>
      <color theme="1"/>
      <name val="Aptos Display"/>
      <family val="2"/>
    </font>
    <font>
      <sz val="10"/>
      <name val="Arial"/>
      <family val="2"/>
    </font>
    <font>
      <b/>
      <sz val="11"/>
      <color theme="1"/>
      <name val="Aptos Display"/>
    </font>
    <font>
      <sz val="11"/>
      <color rgb="FFFF0000"/>
      <name val="Calibri"/>
      <family val="2"/>
      <scheme val="minor"/>
    </font>
    <font>
      <sz val="11"/>
      <color rgb="FFFF0000"/>
      <name val="Aptos Display"/>
      <family val="2"/>
    </font>
    <font>
      <u/>
      <sz val="11"/>
      <color rgb="FFFF0000"/>
      <name val="Calibri"/>
      <family val="2"/>
      <scheme val="minor"/>
    </font>
    <font>
      <sz val="11"/>
      <color theme="5"/>
      <name val="Aptos Display"/>
    </font>
    <font>
      <sz val="11"/>
      <color theme="1"/>
      <name val="Aptos Display"/>
    </font>
    <font>
      <sz val="9"/>
      <color theme="1"/>
      <name val="Aptos Display"/>
    </font>
    <font>
      <sz val="11"/>
      <name val="Aptos Display"/>
    </font>
    <font>
      <sz val="11"/>
      <color rgb="FF808000"/>
      <name val="Calibri"/>
      <family val="2"/>
      <scheme val="minor"/>
    </font>
    <font>
      <b/>
      <sz val="11"/>
      <color rgb="FF000000"/>
      <name val="Arial Nova Cond"/>
    </font>
    <font>
      <sz val="11"/>
      <color rgb="FF000000"/>
      <name val="Arial Nova Cond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>
      <alignment vertical="top"/>
    </xf>
  </cellStyleXfs>
  <cellXfs count="20">
    <xf numFmtId="0" fontId="0" fillId="0" borderId="0" xfId="0"/>
    <xf numFmtId="0" fontId="1" fillId="0" borderId="0" xfId="1"/>
    <xf numFmtId="0" fontId="2" fillId="0" borderId="0" xfId="0" applyFont="1"/>
    <xf numFmtId="0" fontId="5" fillId="0" borderId="0" xfId="0" applyFont="1"/>
    <xf numFmtId="0" fontId="7" fillId="0" borderId="0" xfId="0" applyFont="1"/>
    <xf numFmtId="0" fontId="6" fillId="0" borderId="0" xfId="0" applyFont="1"/>
    <xf numFmtId="0" fontId="8" fillId="0" borderId="0" xfId="1" applyFont="1"/>
    <xf numFmtId="2" fontId="3" fillId="0" borderId="0" xfId="0" applyNumberFormat="1" applyFont="1"/>
    <xf numFmtId="0" fontId="5" fillId="0" borderId="0" xfId="0" applyFont="1" applyAlignment="1">
      <alignment horizontal="center"/>
    </xf>
    <xf numFmtId="1" fontId="3" fillId="0" borderId="0" xfId="0" applyNumberFormat="1" applyFont="1"/>
    <xf numFmtId="0" fontId="3" fillId="2" borderId="0" xfId="0" applyFont="1" applyFill="1"/>
    <xf numFmtId="0" fontId="9" fillId="0" borderId="0" xfId="0" applyFont="1"/>
    <xf numFmtId="0" fontId="3" fillId="0" borderId="0" xfId="0" applyFont="1"/>
    <xf numFmtId="0" fontId="3" fillId="3" borderId="0" xfId="0" applyFont="1" applyFill="1"/>
    <xf numFmtId="0" fontId="10" fillId="0" borderId="0" xfId="0" applyFont="1"/>
    <xf numFmtId="0" fontId="11" fillId="0" borderId="0" xfId="0" applyFont="1"/>
    <xf numFmtId="0" fontId="10" fillId="4" borderId="0" xfId="0" applyFont="1" applyFill="1"/>
    <xf numFmtId="0" fontId="12" fillId="0" borderId="0" xfId="0" applyFont="1"/>
    <xf numFmtId="0" fontId="14" fillId="0" borderId="0" xfId="0" applyFont="1"/>
    <xf numFmtId="0" fontId="15" fillId="0" borderId="0" xfId="0" applyFont="1"/>
  </cellXfs>
  <cellStyles count="3">
    <cellStyle name="Hipervínculo" xfId="1" builtinId="8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742950</xdr:colOff>
          <xdr:row>1</xdr:row>
          <xdr:rowOff>9525</xdr:rowOff>
        </xdr:from>
        <xdr:to>
          <xdr:col>1</xdr:col>
          <xdr:colOff>790575</xdr:colOff>
          <xdr:row>2</xdr:row>
          <xdr:rowOff>66675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Add/Refresh symbol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733425</xdr:colOff>
          <xdr:row>3</xdr:row>
          <xdr:rowOff>19050</xdr:rowOff>
        </xdr:from>
        <xdr:to>
          <xdr:col>1</xdr:col>
          <xdr:colOff>781050</xdr:colOff>
          <xdr:row>4</xdr:row>
          <xdr:rowOff>85725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808000"/>
                  </a:solidFill>
                  <a:latin typeface="Calibri"/>
                  <a:cs typeface="Calibri"/>
                </a:rPr>
                <a:t>Refresh all symbols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808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duminda_dewa@yahoo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2:P67"/>
  <sheetViews>
    <sheetView workbookViewId="0">
      <selection activeCell="F2" sqref="F2"/>
    </sheetView>
  </sheetViews>
  <sheetFormatPr baseColWidth="10" defaultColWidth="9.140625" defaultRowHeight="14.25"/>
  <cols>
    <col min="1" max="1" width="22.140625" style="12" customWidth="1"/>
    <col min="2" max="2" width="15.42578125" style="12" customWidth="1"/>
    <col min="3" max="3" width="16.7109375" style="12" customWidth="1"/>
    <col min="4" max="4" width="20.140625" style="12" customWidth="1"/>
    <col min="5" max="5" width="11.85546875" style="12" customWidth="1"/>
    <col min="6" max="7" width="13.7109375" style="12" customWidth="1"/>
    <col min="8" max="8" width="11.85546875" style="12" customWidth="1"/>
    <col min="9" max="9" width="14.85546875" style="12" customWidth="1"/>
    <col min="10" max="10" width="12.140625" style="12" customWidth="1"/>
    <col min="11" max="11" width="17.85546875" style="12" customWidth="1"/>
    <col min="12" max="12" width="20" style="12" customWidth="1"/>
    <col min="13" max="188" width="9.140625" style="12" customWidth="1"/>
    <col min="189" max="16384" width="9.140625" style="12"/>
  </cols>
  <sheetData>
    <row r="2" spans="1:16" ht="15" customHeight="1">
      <c r="C2" s="14" t="s">
        <v>0</v>
      </c>
      <c r="D2" s="10" t="s">
        <v>1</v>
      </c>
      <c r="F2" s="12" t="s">
        <v>2</v>
      </c>
    </row>
    <row r="3" spans="1:16" ht="15.75" customHeight="1">
      <c r="C3" s="8"/>
      <c r="F3" s="11"/>
    </row>
    <row r="4" spans="1:16">
      <c r="C4" s="14" t="s">
        <v>3</v>
      </c>
      <c r="D4" s="13">
        <v>3</v>
      </c>
      <c r="F4" s="17" t="s">
        <v>4</v>
      </c>
    </row>
    <row r="7" spans="1:16" s="2" customFormat="1" ht="15" customHeight="1">
      <c r="C7" s="15"/>
      <c r="D7" s="16"/>
    </row>
    <row r="8" spans="1:16">
      <c r="M8" s="4"/>
      <c r="N8" s="4"/>
      <c r="O8" s="4"/>
      <c r="P8" s="4"/>
    </row>
    <row r="9" spans="1:16">
      <c r="M9" s="4"/>
      <c r="N9" s="4"/>
      <c r="O9" s="4"/>
      <c r="P9" s="4"/>
    </row>
    <row r="10" spans="1:16">
      <c r="M10" s="4"/>
      <c r="N10" s="4"/>
      <c r="O10" s="4"/>
      <c r="P10" s="4"/>
    </row>
    <row r="11" spans="1:16" ht="15" customHeight="1">
      <c r="M11" s="4"/>
      <c r="N11" s="4"/>
      <c r="O11" s="4"/>
      <c r="P11" s="4"/>
    </row>
    <row r="12" spans="1:16" ht="15" customHeight="1">
      <c r="A12" s="2" t="s">
        <v>5</v>
      </c>
      <c r="B12" s="2" t="s">
        <v>6</v>
      </c>
      <c r="C12" s="2" t="s">
        <v>7</v>
      </c>
      <c r="D12" s="2" t="s">
        <v>8</v>
      </c>
      <c r="E12" s="2" t="s">
        <v>9</v>
      </c>
      <c r="F12" s="2" t="s">
        <v>10</v>
      </c>
      <c r="G12" s="2" t="s">
        <v>11</v>
      </c>
      <c r="H12" s="2"/>
      <c r="I12" s="2" t="s">
        <v>12</v>
      </c>
      <c r="J12" s="2" t="s">
        <v>13</v>
      </c>
      <c r="K12" s="2" t="s">
        <v>14</v>
      </c>
      <c r="L12" s="2" t="s">
        <v>15</v>
      </c>
      <c r="M12" s="4"/>
      <c r="N12" s="4"/>
      <c r="O12" s="4"/>
      <c r="P12" s="4"/>
    </row>
    <row r="13" spans="1:16" ht="15" customHeight="1">
      <c r="A13" s="12" t="s">
        <v>16</v>
      </c>
      <c r="B13" s="12" t="s">
        <v>1</v>
      </c>
      <c r="C13" s="12" t="e">
        <f>SUM(#REF!)</f>
        <v>#REF!</v>
      </c>
      <c r="D13" s="7" t="e">
        <f>#REF!</f>
        <v>#REF!</v>
      </c>
      <c r="L13" s="4"/>
      <c r="M13" s="4"/>
      <c r="N13" s="4"/>
      <c r="O13" s="4"/>
      <c r="P13" s="4"/>
    </row>
    <row r="14" spans="1:16" ht="15" customHeight="1">
      <c r="A14" s="12" t="s">
        <v>17</v>
      </c>
      <c r="B14" s="12" t="s">
        <v>18</v>
      </c>
      <c r="C14" s="9" t="e">
        <f>SUM(#REF!)</f>
        <v>#REF!</v>
      </c>
      <c r="D14" s="7" t="e">
        <f>#REF!</f>
        <v>#REF!</v>
      </c>
      <c r="L14" s="4"/>
      <c r="M14" s="4"/>
      <c r="N14" s="4"/>
      <c r="O14" s="4"/>
      <c r="P14" s="4"/>
    </row>
    <row r="15" spans="1:16" ht="15" customHeight="1">
      <c r="L15" s="4"/>
      <c r="M15" s="4"/>
      <c r="N15" s="4"/>
      <c r="O15" s="4"/>
      <c r="P15" s="4"/>
    </row>
    <row r="16" spans="1:16" ht="15" customHeight="1">
      <c r="C16" s="5"/>
      <c r="L16" s="4"/>
      <c r="M16" s="4"/>
      <c r="N16" s="4"/>
      <c r="O16" s="4"/>
      <c r="P16" s="4"/>
    </row>
    <row r="17" spans="3:16" ht="15" customHeight="1">
      <c r="C17" s="5"/>
      <c r="L17" s="4"/>
      <c r="M17" s="4"/>
      <c r="N17" s="4"/>
      <c r="O17" s="4"/>
      <c r="P17" s="4"/>
    </row>
    <row r="18" spans="3:16" ht="15" customHeight="1">
      <c r="C18" s="5"/>
      <c r="L18" s="4"/>
      <c r="M18" s="4"/>
      <c r="N18" s="4"/>
      <c r="O18" s="4"/>
      <c r="P18" s="4"/>
    </row>
    <row r="19" spans="3:16" ht="15" customHeight="1">
      <c r="C19" s="5"/>
      <c r="L19" s="4"/>
      <c r="M19" s="4"/>
      <c r="N19" s="4"/>
      <c r="O19" s="4"/>
      <c r="P19" s="4"/>
    </row>
    <row r="20" spans="3:16" ht="15" customHeight="1">
      <c r="C20" s="5"/>
      <c r="L20" s="4"/>
      <c r="M20" s="4"/>
      <c r="N20" s="4"/>
      <c r="O20" s="4"/>
      <c r="P20" s="4"/>
    </row>
    <row r="21" spans="3:16" ht="15" customHeight="1">
      <c r="C21" s="5"/>
      <c r="L21" s="4"/>
      <c r="M21" s="4"/>
      <c r="N21" s="4"/>
      <c r="O21" s="4"/>
      <c r="P21" s="4"/>
    </row>
    <row r="22" spans="3:16" ht="15" customHeight="1">
      <c r="C22" s="5"/>
      <c r="H22" s="12" t="s">
        <v>19</v>
      </c>
      <c r="L22" s="4"/>
      <c r="M22" s="4"/>
      <c r="N22" s="4"/>
      <c r="O22" s="4"/>
      <c r="P22" s="4"/>
    </row>
    <row r="23" spans="3:16" ht="15" customHeight="1">
      <c r="C23" s="5"/>
      <c r="H23" s="1" t="s">
        <v>20</v>
      </c>
      <c r="L23" s="4"/>
      <c r="M23" s="4"/>
      <c r="N23" s="4"/>
      <c r="O23" s="4"/>
      <c r="P23" s="4"/>
    </row>
    <row r="24" spans="3:16" ht="15" customHeight="1">
      <c r="C24" s="5"/>
      <c r="H24" s="12" t="s">
        <v>21</v>
      </c>
      <c r="L24" s="4"/>
      <c r="M24" s="4"/>
      <c r="N24" s="4"/>
      <c r="O24" s="4"/>
      <c r="P24" s="4"/>
    </row>
    <row r="25" spans="3:16" ht="15" customHeight="1">
      <c r="C25" s="5"/>
      <c r="L25" s="4"/>
      <c r="M25" s="4"/>
      <c r="N25" s="4"/>
      <c r="O25" s="4"/>
      <c r="P25" s="4"/>
    </row>
    <row r="26" spans="3:16" ht="15" customHeight="1">
      <c r="C26" s="6"/>
      <c r="L26" s="4"/>
      <c r="M26" s="4"/>
      <c r="N26" s="4"/>
      <c r="O26" s="4"/>
      <c r="P26" s="4"/>
    </row>
    <row r="27" spans="3:16">
      <c r="L27" s="4"/>
      <c r="M27" s="4"/>
      <c r="N27" s="4"/>
      <c r="O27" s="4"/>
      <c r="P27" s="4"/>
    </row>
    <row r="28" spans="3:16">
      <c r="L28" s="4"/>
      <c r="M28" s="4"/>
      <c r="N28" s="4"/>
      <c r="O28" s="4"/>
      <c r="P28" s="4"/>
    </row>
    <row r="29" spans="3:16">
      <c r="L29" s="4"/>
      <c r="M29" s="4"/>
      <c r="N29" s="4"/>
      <c r="O29" s="4"/>
      <c r="P29" s="4"/>
    </row>
    <row r="30" spans="3:16">
      <c r="L30" s="4"/>
      <c r="M30" s="4"/>
      <c r="N30" s="4"/>
      <c r="O30" s="4"/>
      <c r="P30" s="4"/>
    </row>
    <row r="31" spans="3:16">
      <c r="L31" s="4"/>
      <c r="M31" s="4"/>
      <c r="N31" s="4"/>
      <c r="O31" s="4"/>
      <c r="P31" s="4"/>
    </row>
    <row r="32" spans="3:16">
      <c r="L32" s="4"/>
      <c r="M32" s="4"/>
      <c r="N32" s="4"/>
      <c r="O32" s="4"/>
      <c r="P32" s="4"/>
    </row>
    <row r="33" spans="12:16">
      <c r="L33" s="4"/>
      <c r="M33" s="4"/>
      <c r="N33" s="4"/>
      <c r="O33" s="4"/>
      <c r="P33" s="4"/>
    </row>
    <row r="34" spans="12:16">
      <c r="L34" s="4"/>
      <c r="M34" s="4"/>
      <c r="N34" s="4"/>
      <c r="O34" s="4"/>
      <c r="P34" s="4"/>
    </row>
    <row r="37" spans="12:16" s="3" customFormat="1" ht="15" customHeight="1">
      <c r="M37" s="12"/>
    </row>
    <row r="63" spans="7:7" ht="15" customHeight="1">
      <c r="G63" s="1"/>
    </row>
    <row r="67" ht="15" customHeight="1"/>
  </sheetData>
  <hyperlinks>
    <hyperlink ref="H23" r:id="rId1"/>
  </hyperlinks>
  <pageMargins left="0.7" right="0.7" top="0.75" bottom="0.75" header="0.3" footer="0.3"/>
  <pageSetup orientation="portrait" verticalDpi="30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AddStock">
                <anchor moveWithCells="1" sizeWithCells="1">
                  <from>
                    <xdr:col>0</xdr:col>
                    <xdr:colOff>742950</xdr:colOff>
                    <xdr:row>1</xdr:row>
                    <xdr:rowOff>9525</xdr:rowOff>
                  </from>
                  <to>
                    <xdr:col>1</xdr:col>
                    <xdr:colOff>790575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freshStocks">
                <anchor moveWithCells="1" sizeWithCells="1">
                  <from>
                    <xdr:col>0</xdr:col>
                    <xdr:colOff>733425</xdr:colOff>
                    <xdr:row>3</xdr:row>
                    <xdr:rowOff>19050</xdr:rowOff>
                  </from>
                  <to>
                    <xdr:col>1</xdr:col>
                    <xdr:colOff>781050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44"/>
  <sheetViews>
    <sheetView tabSelected="1" topLeftCell="A7" workbookViewId="0">
      <selection activeCell="I29" sqref="I29"/>
    </sheetView>
  </sheetViews>
  <sheetFormatPr baseColWidth="10" defaultColWidth="9.140625" defaultRowHeight="15"/>
  <cols>
    <col min="7" max="7" width="22.42578125" customWidth="1"/>
  </cols>
  <sheetData>
    <row r="1" spans="1:15">
      <c r="A1" s="18" t="s">
        <v>22</v>
      </c>
      <c r="B1" s="18" t="s">
        <v>23</v>
      </c>
      <c r="C1" s="18" t="s">
        <v>8</v>
      </c>
      <c r="D1" s="18" t="s">
        <v>24</v>
      </c>
    </row>
    <row r="5" spans="1:15">
      <c r="G5" s="19" t="s">
        <v>25</v>
      </c>
      <c r="H5" s="18" t="s">
        <v>26</v>
      </c>
      <c r="N5" s="18" t="s">
        <v>27</v>
      </c>
    </row>
    <row r="6" spans="1:15">
      <c r="G6" s="19" t="s">
        <v>28</v>
      </c>
      <c r="O6" s="19" t="s">
        <v>29</v>
      </c>
    </row>
    <row r="7" spans="1:15">
      <c r="G7" s="19" t="s">
        <v>30</v>
      </c>
      <c r="H7" s="18" t="s">
        <v>1</v>
      </c>
      <c r="O7" s="19" t="s">
        <v>31</v>
      </c>
    </row>
    <row r="8" spans="1:15">
      <c r="G8" s="19" t="s">
        <v>32</v>
      </c>
      <c r="O8" s="19" t="s">
        <v>33</v>
      </c>
    </row>
    <row r="9" spans="1:15">
      <c r="G9" s="19"/>
      <c r="O9" s="19" t="s">
        <v>34</v>
      </c>
    </row>
    <row r="10" spans="1:15">
      <c r="G10" s="19"/>
      <c r="O10" s="19" t="s">
        <v>35</v>
      </c>
    </row>
    <row r="11" spans="1:15">
      <c r="G11" s="19" t="s">
        <v>36</v>
      </c>
      <c r="H11" s="19"/>
      <c r="I11" s="19"/>
      <c r="O11" s="19" t="s">
        <v>37</v>
      </c>
    </row>
    <row r="12" spans="1:15">
      <c r="G12" s="19" t="s">
        <v>38</v>
      </c>
      <c r="H12" s="19"/>
      <c r="I12" s="19"/>
    </row>
    <row r="13" spans="1:15">
      <c r="G13" s="19" t="s">
        <v>39</v>
      </c>
      <c r="H13" s="19"/>
      <c r="I13" s="19"/>
    </row>
    <row r="14" spans="1:15">
      <c r="G14" s="19" t="s">
        <v>40</v>
      </c>
      <c r="H14" s="19"/>
      <c r="I14" s="19"/>
    </row>
    <row r="15" spans="1:15">
      <c r="G15" s="19" t="s">
        <v>41</v>
      </c>
      <c r="H15" s="19"/>
      <c r="I15" s="19"/>
    </row>
    <row r="16" spans="1:15">
      <c r="G16" s="19"/>
      <c r="H16" s="19"/>
      <c r="I16" s="19"/>
    </row>
    <row r="17" spans="7:15">
      <c r="G17" s="18" t="s">
        <v>42</v>
      </c>
      <c r="H17" s="18" t="s">
        <v>43</v>
      </c>
      <c r="I17" s="18" t="s">
        <v>44</v>
      </c>
      <c r="N17" s="18" t="s">
        <v>45</v>
      </c>
    </row>
    <row r="18" spans="7:15">
      <c r="G18" s="19" t="s">
        <v>46</v>
      </c>
      <c r="H18" s="19">
        <v>6.5744000000000007</v>
      </c>
      <c r="I18" s="19" t="s">
        <v>47</v>
      </c>
      <c r="O18" s="19" t="s">
        <v>48</v>
      </c>
    </row>
    <row r="19" spans="7:15">
      <c r="G19" s="19" t="s">
        <v>49</v>
      </c>
      <c r="H19" s="19">
        <v>2.7113999999999998</v>
      </c>
      <c r="I19" s="19" t="s">
        <v>47</v>
      </c>
      <c r="O19" s="19" t="s">
        <v>50</v>
      </c>
    </row>
    <row r="20" spans="7:15">
      <c r="G20" s="19" t="s">
        <v>51</v>
      </c>
      <c r="H20" s="19">
        <v>1.4553</v>
      </c>
      <c r="I20" s="19" t="s">
        <v>47</v>
      </c>
      <c r="O20" s="19" t="s">
        <v>52</v>
      </c>
    </row>
    <row r="21" spans="7:15">
      <c r="G21" s="19" t="s">
        <v>53</v>
      </c>
      <c r="H21" s="19">
        <v>22.135999999999999</v>
      </c>
      <c r="I21" s="19" t="s">
        <v>54</v>
      </c>
      <c r="O21" s="19" t="s">
        <v>55</v>
      </c>
    </row>
    <row r="22" spans="7:15">
      <c r="G22" s="19" t="s">
        <v>56</v>
      </c>
      <c r="H22" s="19">
        <v>13.475</v>
      </c>
      <c r="I22" s="19"/>
      <c r="O22" s="19" t="s">
        <v>57</v>
      </c>
    </row>
    <row r="23" spans="7:15">
      <c r="G23" s="19" t="s">
        <v>58</v>
      </c>
      <c r="H23" s="19"/>
      <c r="I23" s="19"/>
      <c r="O23" s="19" t="s">
        <v>59</v>
      </c>
    </row>
    <row r="24" spans="7:15">
      <c r="G24" s="19"/>
      <c r="H24" s="19"/>
      <c r="I24" s="19"/>
    </row>
    <row r="25" spans="7:15">
      <c r="G25" s="19" t="s">
        <v>60</v>
      </c>
      <c r="H25" s="19">
        <v>116.1815</v>
      </c>
      <c r="I25" s="19" t="s">
        <v>47</v>
      </c>
    </row>
    <row r="26" spans="7:15">
      <c r="G26" s="19" t="s">
        <v>61</v>
      </c>
      <c r="H26" s="19">
        <v>45.761400000000002</v>
      </c>
      <c r="I26" s="19" t="s">
        <v>47</v>
      </c>
    </row>
    <row r="27" spans="7:15">
      <c r="G27" s="19" t="s">
        <v>62</v>
      </c>
      <c r="H27" s="19">
        <v>169.20869999999999</v>
      </c>
      <c r="I27" s="19"/>
    </row>
    <row r="28" spans="7:15">
      <c r="G28" s="19" t="s">
        <v>63</v>
      </c>
      <c r="H28" s="19">
        <v>2.538853706398843</v>
      </c>
      <c r="I28" s="19" t="s">
        <v>64</v>
      </c>
    </row>
    <row r="29" spans="7:15">
      <c r="G29" s="19" t="s">
        <v>65</v>
      </c>
      <c r="H29" s="19">
        <v>0.4093</v>
      </c>
      <c r="I29" s="19"/>
    </row>
    <row r="30" spans="7:15">
      <c r="G30" s="19"/>
      <c r="H30" s="19"/>
      <c r="I30" s="19"/>
    </row>
    <row r="31" spans="7:15">
      <c r="G31" s="19" t="s">
        <v>66</v>
      </c>
      <c r="H31" s="19"/>
      <c r="I31" s="19"/>
    </row>
    <row r="32" spans="7:15">
      <c r="G32" s="19" t="s">
        <v>67</v>
      </c>
      <c r="H32" s="19">
        <v>0.108</v>
      </c>
      <c r="I32" s="19" t="s">
        <v>68</v>
      </c>
    </row>
    <row r="33" spans="7:9">
      <c r="G33" s="19" t="s">
        <v>69</v>
      </c>
      <c r="H33" s="19">
        <v>0.54</v>
      </c>
      <c r="I33" s="19" t="s">
        <v>54</v>
      </c>
    </row>
    <row r="34" spans="7:9">
      <c r="G34" s="19" t="s">
        <v>70</v>
      </c>
      <c r="H34" s="19"/>
      <c r="I34" s="19"/>
    </row>
    <row r="35" spans="7:9">
      <c r="G35" s="19" t="s">
        <v>71</v>
      </c>
      <c r="H35" s="19">
        <v>2.7113999999999998</v>
      </c>
      <c r="I35" s="19" t="s">
        <v>47</v>
      </c>
    </row>
    <row r="36" spans="7:9">
      <c r="G36" s="19" t="s">
        <v>72</v>
      </c>
      <c r="H36" s="19">
        <v>58.997</v>
      </c>
      <c r="I36" s="19" t="s">
        <v>54</v>
      </c>
    </row>
    <row r="37" spans="7:9">
      <c r="G37" s="19" t="s">
        <v>73</v>
      </c>
      <c r="H37" s="19">
        <v>4.5957999999999997</v>
      </c>
      <c r="I37" s="19" t="s">
        <v>47</v>
      </c>
    </row>
    <row r="38" spans="7:9">
      <c r="G38" s="19" t="s">
        <v>74</v>
      </c>
      <c r="H38" s="19">
        <v>69.903999999999996</v>
      </c>
      <c r="I38" s="19" t="s">
        <v>54</v>
      </c>
    </row>
    <row r="39" spans="7:9">
      <c r="G39" s="19" t="s">
        <v>75</v>
      </c>
      <c r="H39" s="19">
        <v>0.2515</v>
      </c>
      <c r="I39" s="19" t="s">
        <v>68</v>
      </c>
    </row>
    <row r="40" spans="7:9">
      <c r="G40" s="19" t="s">
        <v>76</v>
      </c>
      <c r="H40" s="19">
        <v>0.9637</v>
      </c>
      <c r="I40" s="19" t="s">
        <v>47</v>
      </c>
    </row>
    <row r="41" spans="7:9">
      <c r="G41" s="19" t="s">
        <v>77</v>
      </c>
      <c r="H41" s="19">
        <v>6.9238999999999997</v>
      </c>
      <c r="I41" s="19" t="s">
        <v>68</v>
      </c>
    </row>
    <row r="42" spans="7:9">
      <c r="G42" s="19" t="s">
        <v>78</v>
      </c>
      <c r="H42" s="19">
        <v>26.355799999999999</v>
      </c>
      <c r="I42" s="19" t="s">
        <v>47</v>
      </c>
    </row>
    <row r="43" spans="7:9">
      <c r="G43" s="19" t="s">
        <v>79</v>
      </c>
      <c r="H43" s="19">
        <v>1.345</v>
      </c>
      <c r="I43" s="19"/>
    </row>
    <row r="44" spans="7:9">
      <c r="G44" s="19" t="s">
        <v>80</v>
      </c>
      <c r="H44" s="19">
        <v>658.16499999999996</v>
      </c>
      <c r="I44" s="19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SUMMARY</vt:lpstr>
      <vt:lpstr>ROP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Familia</cp:lastModifiedBy>
  <dcterms:created xsi:type="dcterms:W3CDTF">2024-09-07T21:22:33Z</dcterms:created>
  <dcterms:modified xsi:type="dcterms:W3CDTF">2024-09-29T06:56:48Z</dcterms:modified>
</cp:coreProperties>
</file>