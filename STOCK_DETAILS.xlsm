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650" tabRatio="600" firstSheet="0" activeTab="3" autoFilterDateGrouping="1"/>
  </bookViews>
  <sheets>
    <sheet name="SUMMARY" sheetId="1" state="visible" r:id="rId1"/>
    <sheet name="ROP" sheetId="2" state="visible" r:id="rId2"/>
    <sheet name="DXPE" sheetId="3" state="visible" r:id="rId3"/>
    <sheet name="IBM" sheetId="4" state="visible" r:id="rId4"/>
    <sheet name="INTC" sheetId="5" state="visible" r:id="rId5"/>
    <sheet name="AAPL" sheetId="6" state="visible" r:id="rId6"/>
  </sheets>
  <definedNames/>
  <calcPr calcId="162913" fullCalcOnLoad="1"/>
</workbook>
</file>

<file path=xl/styles.xml><?xml version="1.0" encoding="utf-8"?>
<styleSheet xmlns="http://schemas.openxmlformats.org/spreadsheetml/2006/main">
  <numFmts count="8"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  <numFmt numFmtId="171" formatCode="_-&quot;$&quot;\ * #,##0_-;\-&quot;$&quot;\ * #,##0_-;_-&quot;$&quot;\ * &quot;-&quot;_-;_-@_-"/>
  </numFmts>
  <fonts count="34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ptos Display"/>
      <family val="2"/>
      <b val="1"/>
      <color theme="1"/>
      <sz val="11"/>
    </font>
    <font>
      <name val="Aptos Display"/>
      <family val="2"/>
      <color theme="1"/>
      <sz val="11"/>
    </font>
    <font>
      <name val="Arial Nova Cond"/>
      <family val="2"/>
      <color theme="1"/>
      <sz val="11"/>
    </font>
    <font>
      <name val="Arial Nova Cond"/>
      <family val="2"/>
      <color rgb="FFFF0000"/>
      <sz val="11"/>
    </font>
    <font>
      <name val="Arial Nova Cond"/>
      <family val="2"/>
      <sz val="11"/>
    </font>
    <font>
      <name val="Arial Nova Cond"/>
      <family val="2"/>
      <b val="1"/>
      <sz val="11"/>
    </font>
    <font>
      <name val="Arial Nova Cond"/>
      <family val="2"/>
      <b val="1"/>
      <color rgb="FFFF0000"/>
      <sz val="11"/>
    </font>
    <font>
      <name val="Arial"/>
      <family val="2"/>
      <sz val="10"/>
    </font>
    <font>
      <name val="Arial Nova Cond"/>
      <family val="2"/>
      <color theme="0" tint="-0.0499893185216834"/>
      <sz val="11"/>
    </font>
    <font>
      <name val="Arial Nova Cond"/>
      <family val="2"/>
      <b val="1"/>
      <color rgb="FFFF0000"/>
      <sz val="11"/>
      <u val="single"/>
    </font>
    <font>
      <name val="Arial Nova Cond"/>
      <b val="1"/>
      <sz val="11"/>
    </font>
    <font>
      <name val="Arial Nova Cond"/>
      <b val="1"/>
      <color rgb="FFFF0000"/>
      <sz val="11"/>
    </font>
    <font>
      <name val="Arial Nova Cond"/>
      <color rgb="FFFF0000"/>
      <sz val="11"/>
    </font>
    <font>
      <name val="Aptos Display"/>
      <b val="1"/>
      <color theme="1"/>
      <sz val="11"/>
    </font>
    <font>
      <name val="Calibri"/>
      <family val="2"/>
      <color rgb="FFFF0000"/>
      <sz val="11"/>
      <scheme val="minor"/>
    </font>
    <font>
      <name val="Aptos Display"/>
      <family val="2"/>
      <color rgb="FFFF0000"/>
      <sz val="11"/>
    </font>
    <font>
      <name val="Calibri"/>
      <family val="2"/>
      <color rgb="FFFF0000"/>
      <sz val="11"/>
      <u val="single"/>
      <scheme val="minor"/>
    </font>
    <font>
      <name val="Arial Nova Cond"/>
      <color rgb="FF0000FF"/>
      <sz val="11"/>
    </font>
    <font>
      <name val="Arial Nova Cond"/>
      <sz val="11"/>
    </font>
    <font>
      <name val="Aptos Display"/>
      <family val="2"/>
      <color theme="0" tint="-0.499984740745262"/>
      <sz val="11"/>
    </font>
    <font>
      <name val="Calibri"/>
      <family val="2"/>
      <color theme="0" tint="-0.499984740745262"/>
      <sz val="11"/>
      <u val="single"/>
      <scheme val="minor"/>
    </font>
    <font>
      <name val="Arial Nova Cond"/>
      <family val="2"/>
      <color rgb="FF0000FF"/>
      <sz val="11"/>
    </font>
    <font>
      <name val="Aptos Display"/>
      <color theme="5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Calibri"/>
      <family val="2"/>
      <color rgb="FF808000"/>
      <sz val="11"/>
    </font>
    <font>
      <name val="Arial Nova Cond"/>
      <b val="1"/>
      <color rgb="00000000"/>
      <sz val="11"/>
    </font>
    <font>
      <name val="Arial Nova Cond"/>
      <color rgb="00000000"/>
      <sz val="11"/>
    </font>
  </fonts>
  <fills count="3">
    <fill>
      <patternFill/>
    </fill>
    <fill>
      <patternFill patternType="gray125"/>
    </fill>
    <fill>
      <patternFill patternType="solid">
        <fgColor theme="9" tint="0.599993896298104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0" borderId="0"/>
    <xf numFmtId="0" fontId="9" fillId="0" borderId="0" applyAlignment="1">
      <alignment vertical="top"/>
    </xf>
  </cellStyleXfs>
  <cellXfs count="79">
    <xf numFmtId="0" fontId="0" fillId="0" borderId="0" pivotButton="0" quotePrefix="0" xfId="0"/>
    <xf numFmtId="0" fontId="1" fillId="0" borderId="0" pivotButton="0" quotePrefix="0" xfId="1"/>
    <xf numFmtId="0" fontId="2" fillId="0" borderId="0" pivotButton="0" quotePrefix="0" xfId="0"/>
    <xf numFmtId="0" fontId="4" fillId="0" borderId="0" pivotButton="0" quotePrefix="0" xfId="0"/>
    <xf numFmtId="0" fontId="4" fillId="0" borderId="0" applyAlignment="1" pivotButton="0" quotePrefix="0" xfId="0">
      <alignment horizontal="left" vertical="center"/>
    </xf>
    <xf numFmtId="0" fontId="4" fillId="0" borderId="1" pivotButton="0" quotePrefix="0" xfId="0"/>
    <xf numFmtId="0" fontId="5" fillId="0" borderId="0" pivotButton="0" quotePrefix="0" xfId="0"/>
    <xf numFmtId="0" fontId="8" fillId="0" borderId="0" pivotButton="0" quotePrefix="0" xfId="0"/>
    <xf numFmtId="14" fontId="5" fillId="0" borderId="0" pivotButton="0" quotePrefix="0" xfId="0"/>
    <xf numFmtId="1" fontId="5" fillId="0" borderId="0" pivotButton="0" quotePrefix="0" xfId="0"/>
    <xf numFmtId="2" fontId="5" fillId="0" borderId="0" applyAlignment="1" pivotButton="0" quotePrefix="0" xfId="0">
      <alignment horizontal="left" vertical="center"/>
    </xf>
    <xf numFmtId="14" fontId="7" fillId="0" borderId="0" applyAlignment="1" pivotButton="0" quotePrefix="0" xfId="0">
      <alignment horizontal="right"/>
    </xf>
    <xf numFmtId="1" fontId="7" fillId="0" borderId="0" applyAlignment="1" pivotButton="0" quotePrefix="0" xfId="0">
      <alignment horizontal="right"/>
    </xf>
    <xf numFmtId="0" fontId="7" fillId="0" borderId="0" pivotButton="0" quotePrefix="0" xfId="0"/>
    <xf numFmtId="0" fontId="7" fillId="0" borderId="0" applyAlignment="1" pivotButton="0" quotePrefix="0" xfId="0">
      <alignment horizontal="left" vertical="center"/>
    </xf>
    <xf numFmtId="0" fontId="7" fillId="0" borderId="1" pivotButton="0" quotePrefix="0" xfId="0"/>
    <xf numFmtId="14" fontId="6" fillId="0" borderId="0" pivotButton="0" quotePrefix="0" xfId="0"/>
    <xf numFmtId="1" fontId="6" fillId="0" borderId="0" pivotButton="0" quotePrefix="0" xfId="0"/>
    <xf numFmtId="0" fontId="6" fillId="0" borderId="0" pivotButton="0" quotePrefix="0" xfId="0"/>
    <xf numFmtId="0" fontId="6" fillId="0" borderId="1" pivotButton="0" quotePrefix="0" xfId="0"/>
    <xf numFmtId="0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/>
    </xf>
    <xf numFmtId="1" fontId="7" fillId="0" borderId="0" applyAlignment="1" pivotButton="0" quotePrefix="0" xfId="0">
      <alignment horizontal="left" vertical="center"/>
    </xf>
    <xf numFmtId="2" fontId="6" fillId="0" borderId="0" applyAlignment="1" pivotButton="0" quotePrefix="0" xfId="0">
      <alignment horizontal="left" vertical="center"/>
    </xf>
    <xf numFmtId="2" fontId="6" fillId="0" borderId="0" applyAlignment="1" pivotButton="0" quotePrefix="0" xfId="0">
      <alignment horizontal="left"/>
    </xf>
    <xf numFmtId="2" fontId="6" fillId="0" borderId="0" pivotButton="0" quotePrefix="0" xfId="0"/>
    <xf numFmtId="0" fontId="6" fillId="0" borderId="0" applyAlignment="1" pivotButton="0" quotePrefix="0" xfId="0">
      <alignment horizontal="left" indent="1"/>
    </xf>
    <xf numFmtId="2" fontId="10" fillId="0" borderId="0" applyAlignment="1" pivotButton="0" quotePrefix="0" xfId="0">
      <alignment horizontal="left"/>
    </xf>
    <xf numFmtId="0" fontId="11" fillId="0" borderId="0" pivotButton="0" quotePrefix="0" xfId="0"/>
    <xf numFmtId="0" fontId="12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15" fillId="0" borderId="0" pivotButton="0" quotePrefix="0" xfId="0"/>
    <xf numFmtId="0" fontId="17" fillId="0" borderId="0" pivotButton="0" quotePrefix="0" xfId="0"/>
    <xf numFmtId="0" fontId="16" fillId="0" borderId="0" pivotButton="0" quotePrefix="0" xfId="0"/>
    <xf numFmtId="0" fontId="18" fillId="0" borderId="0" pivotButton="0" quotePrefix="0" xfId="1"/>
    <xf numFmtId="14" fontId="19" fillId="0" borderId="0" applyAlignment="1" pivotButton="0" quotePrefix="0" xfId="0">
      <alignment horizontal="left"/>
    </xf>
    <xf numFmtId="0" fontId="20" fillId="0" borderId="0" pivotButton="0" quotePrefix="0" xfId="0"/>
    <xf numFmtId="2" fontId="3" fillId="0" borderId="0" pivotButton="0" quotePrefix="0" xfId="0"/>
    <xf numFmtId="0" fontId="15" fillId="0" borderId="0" applyAlignment="1" pivotButton="0" quotePrefix="0" xfId="0">
      <alignment horizontal="center"/>
    </xf>
    <xf numFmtId="1" fontId="3" fillId="0" borderId="0" pivotButton="0" quotePrefix="0" xfId="0"/>
    <xf numFmtId="0" fontId="21" fillId="0" borderId="0" pivotButton="0" quotePrefix="0" xfId="0"/>
    <xf numFmtId="0" fontId="22" fillId="0" borderId="0" pivotButton="0" quotePrefix="0" xfId="1"/>
    <xf numFmtId="0" fontId="23" fillId="0" borderId="0" pivotButton="0" quotePrefix="0" xfId="0"/>
    <xf numFmtId="0" fontId="3" fillId="2" borderId="0" pivotButton="0" quotePrefix="0" xfId="0"/>
    <xf numFmtId="0" fontId="24" fillId="0" borderId="0" pivotButton="0" quotePrefix="0" xfId="0"/>
    <xf numFmtId="0" fontId="3" fillId="0" borderId="0" pivotButton="0" quotePrefix="0" xfId="0"/>
    <xf numFmtId="164" fontId="6" fillId="0" borderId="0" pivotButton="0" quotePrefix="0" xfId="0"/>
    <xf numFmtId="164" fontId="7" fillId="0" borderId="0" applyAlignment="1" pivotButton="0" quotePrefix="0" xfId="0">
      <alignment horizontal="right"/>
    </xf>
    <xf numFmtId="165" fontId="6" fillId="0" borderId="0" pivotButton="0" quotePrefix="0" xfId="0"/>
    <xf numFmtId="166" fontId="6" fillId="0" borderId="0" applyAlignment="1" pivotButton="0" quotePrefix="0" xfId="0">
      <alignment horizontal="left" vertical="center"/>
    </xf>
    <xf numFmtId="164" fontId="6" fillId="0" borderId="0" applyAlignment="1" pivotButton="0" quotePrefix="0" xfId="0">
      <alignment horizontal="left" vertical="center"/>
    </xf>
    <xf numFmtId="164" fontId="7" fillId="0" borderId="0" applyAlignment="1" pivotButton="0" quotePrefix="0" xfId="0">
      <alignment horizontal="left" vertical="center"/>
    </xf>
    <xf numFmtId="164" fontId="13" fillId="0" borderId="0" applyAlignment="1" pivotButton="0" quotePrefix="0" xfId="0">
      <alignment horizontal="left" vertical="center"/>
    </xf>
    <xf numFmtId="167" fontId="6" fillId="0" borderId="0" pivotButton="0" quotePrefix="0" xfId="0"/>
    <xf numFmtId="164" fontId="20" fillId="0" borderId="0" pivotButton="0" quotePrefix="0" xfId="0"/>
    <xf numFmtId="168" fontId="6" fillId="0" borderId="0" applyAlignment="1" pivotButton="0" quotePrefix="0" xfId="0">
      <alignment horizontal="left" vertical="center"/>
    </xf>
    <xf numFmtId="169" fontId="6" fillId="0" borderId="0" pivotButton="0" quotePrefix="0" xfId="0"/>
    <xf numFmtId="170" fontId="6" fillId="0" borderId="0" applyAlignment="1" pivotButton="0" quotePrefix="0" xfId="0">
      <alignment horizontal="left" vertical="center"/>
    </xf>
    <xf numFmtId="164" fontId="5" fillId="0" borderId="0" pivotButton="0" quotePrefix="0" xfId="0"/>
    <xf numFmtId="166" fontId="5" fillId="0" borderId="0" applyAlignment="1" pivotButton="0" quotePrefix="0" xfId="0">
      <alignment horizontal="left" vertical="center"/>
    </xf>
    <xf numFmtId="165" fontId="10" fillId="0" borderId="0" pivotButton="0" quotePrefix="0" xfId="0"/>
    <xf numFmtId="165" fontId="6" fillId="0" borderId="0" applyAlignment="1" pivotButton="0" quotePrefix="0" xfId="0">
      <alignment horizontal="left"/>
    </xf>
    <xf numFmtId="168" fontId="10" fillId="0" borderId="0" applyAlignment="1" pivotButton="0" quotePrefix="0" xfId="0">
      <alignment horizontal="right" vertical="center"/>
    </xf>
    <xf numFmtId="165" fontId="6" fillId="0" borderId="0" applyAlignment="1" pivotButton="0" quotePrefix="0" xfId="0">
      <alignment horizontal="left" vertical="center"/>
    </xf>
    <xf numFmtId="171" fontId="9" fillId="0" borderId="0" applyAlignment="1" pivotButton="0" quotePrefix="0" xfId="2">
      <alignment vertical="top"/>
    </xf>
    <xf numFmtId="0" fontId="25" fillId="0" borderId="0" pivotButton="0" quotePrefix="0" xfId="0"/>
    <xf numFmtId="0" fontId="26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14" fontId="29" fillId="0" borderId="0" applyAlignment="1" pivotButton="0" quotePrefix="0" xfId="0">
      <alignment horizontal="left"/>
    </xf>
    <xf numFmtId="0" fontId="29" fillId="0" borderId="0" applyAlignment="1" pivotButton="0" quotePrefix="0" xfId="0">
      <alignment horizontal="left" vertical="center"/>
    </xf>
    <xf numFmtId="3" fontId="30" fillId="0" borderId="0" applyAlignment="1" pivotButton="0" quotePrefix="0" xfId="0">
      <alignment horizontal="left"/>
    </xf>
    <xf numFmtId="165" fontId="30" fillId="0" borderId="0" applyAlignment="1" pivotButton="0" quotePrefix="0" xfId="0">
      <alignment horizontal="left"/>
    </xf>
    <xf numFmtId="0" fontId="29" fillId="0" borderId="0" pivotButton="0" quotePrefix="0" xfId="0"/>
    <xf numFmtId="0" fontId="30" fillId="0" borderId="0" pivotButton="0" quotePrefix="0" xfId="0"/>
    <xf numFmtId="171" fontId="9" fillId="0" borderId="0" applyAlignment="1" pivotButton="0" quotePrefix="0" xfId="2">
      <alignment vertical="top"/>
    </xf>
    <xf numFmtId="0" fontId="32" fillId="0" borderId="0" pivotButton="0" quotePrefix="0" xfId="0"/>
    <xf numFmtId="0" fontId="33" fillId="0" borderId="0" pivotButton="0" quotePrefix="0" xfId="0"/>
  </cellXfs>
  <cellStyles count="3">
    <cellStyle name="Normal" xfId="0" builtinId="0"/>
    <cellStyle name="Hipervínculo" xfId="1" builtinId="8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duminda_dewa@yahoo.com" TargetMode="Externa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/>
  </sheetPr>
  <dimension ref="A2:P63"/>
  <sheetViews>
    <sheetView topLeftCell="A4" workbookViewId="0">
      <selection activeCell="A5" sqref="A5"/>
    </sheetView>
  </sheetViews>
  <sheetFormatPr baseColWidth="10" defaultColWidth="9.140625" defaultRowHeight="14.25"/>
  <cols>
    <col width="22.140625" customWidth="1" style="46" min="1" max="1"/>
    <col width="15.42578125" customWidth="1" style="46" min="2" max="2"/>
    <col width="11.85546875" customWidth="1" style="46" min="3" max="3"/>
    <col width="20.140625" customWidth="1" style="46" min="4" max="4"/>
    <col width="11.85546875" customWidth="1" style="46" min="5" max="5"/>
    <col width="13.7109375" customWidth="1" style="46" min="6" max="7"/>
    <col width="11.85546875" customWidth="1" style="46" min="8" max="8"/>
    <col width="14.85546875" customWidth="1" style="46" min="9" max="9"/>
    <col width="12.140625" customWidth="1" style="46" min="10" max="10"/>
    <col width="17.85546875" customWidth="1" style="46" min="11" max="11"/>
    <col width="20" customWidth="1" style="46" min="12" max="12"/>
    <col width="9.140625" customWidth="1" style="46" min="13" max="56"/>
    <col width="9.140625" customWidth="1" style="46" min="57" max="16384"/>
  </cols>
  <sheetData>
    <row r="2" ht="15" customHeight="1">
      <c r="C2" s="46" t="inlineStr">
        <is>
          <t>Symbol:</t>
        </is>
      </c>
      <c r="D2" s="44" t="inlineStr">
        <is>
          <t>INTC</t>
        </is>
      </c>
      <c r="F2" s="45" t="inlineStr">
        <is>
          <t>¡Every time a button is clicked, all the changes in this file will be saved!</t>
        </is>
      </c>
    </row>
    <row r="3" ht="15.75" customHeight="1">
      <c r="C3" s="39" t="n"/>
      <c r="F3" s="42" t="n"/>
    </row>
    <row r="4">
      <c r="F4" s="41" t="n"/>
    </row>
    <row r="7" ht="15" customFormat="1" customHeight="1" s="2">
      <c r="A7" s="2" t="inlineStr">
        <is>
          <t>Name</t>
        </is>
      </c>
      <c r="B7" s="2" t="inlineStr">
        <is>
          <t>Symbol</t>
        </is>
      </c>
      <c r="C7" s="2" t="inlineStr">
        <is>
          <t>Quantity</t>
        </is>
      </c>
      <c r="D7" s="2" t="inlineStr">
        <is>
          <t>Cost per share</t>
        </is>
      </c>
      <c r="E7" s="2" t="inlineStr">
        <is>
          <t>Total cost</t>
        </is>
      </c>
      <c r="F7" s="2" t="inlineStr">
        <is>
          <t>Market value</t>
        </is>
      </c>
      <c r="G7" s="2" t="inlineStr">
        <is>
          <t>Percent gain/loss</t>
        </is>
      </c>
      <c r="I7" s="2" t="inlineStr">
        <is>
          <t>Gross Margin</t>
        </is>
      </c>
      <c r="J7" s="2" t="inlineStr">
        <is>
          <t xml:space="preserve">Net Margin </t>
        </is>
      </c>
      <c r="K7" s="2" t="inlineStr">
        <is>
          <t>Current Ratio</t>
        </is>
      </c>
      <c r="L7" s="2" t="inlineStr">
        <is>
          <t>Debt to Equity Ratio</t>
        </is>
      </c>
    </row>
    <row r="8">
      <c r="A8" s="46" t="inlineStr">
        <is>
          <t>Roper Technologies</t>
        </is>
      </c>
      <c r="B8" s="46" t="inlineStr">
        <is>
          <t>ROP</t>
        </is>
      </c>
      <c r="C8" s="46">
        <f>SUM(ROP!B5:B16)</f>
        <v/>
      </c>
      <c r="D8" s="38">
        <f>ROP!H12</f>
        <v/>
      </c>
      <c r="L8" s="33" t="n"/>
      <c r="M8" s="33" t="n"/>
      <c r="N8" s="33" t="n"/>
      <c r="O8" s="33" t="n"/>
      <c r="P8" s="33" t="n"/>
    </row>
    <row r="9">
      <c r="A9" s="46" t="inlineStr">
        <is>
          <t>DXPE Technologies</t>
        </is>
      </c>
      <c r="B9" s="46" t="inlineStr">
        <is>
          <t>DXPE</t>
        </is>
      </c>
      <c r="C9" s="40">
        <f>SUM(DXPE!B5:B19)</f>
        <v/>
      </c>
      <c r="D9" s="38">
        <f>DXPE!H12</f>
        <v/>
      </c>
      <c r="L9" s="33" t="n"/>
      <c r="M9" s="33" t="n"/>
      <c r="N9" s="33" t="n"/>
      <c r="O9" s="33" t="n"/>
      <c r="P9" s="33" t="n"/>
    </row>
    <row r="10">
      <c r="L10" s="33" t="n"/>
      <c r="M10" s="33" t="n"/>
      <c r="N10" s="33" t="n"/>
      <c r="O10" s="33" t="n"/>
      <c r="P10" s="33" t="n"/>
    </row>
    <row r="11" ht="15" customHeight="1">
      <c r="C11" s="34" t="n"/>
      <c r="L11" s="33" t="n"/>
      <c r="M11" s="33" t="n"/>
      <c r="N11" s="33" t="n"/>
      <c r="O11" s="33" t="n"/>
      <c r="P11" s="33" t="n"/>
    </row>
    <row r="12" ht="15" customHeight="1">
      <c r="C12" s="34" t="n"/>
      <c r="L12" s="33" t="n"/>
      <c r="M12" s="33" t="n"/>
      <c r="N12" s="33" t="n"/>
      <c r="O12" s="33" t="n"/>
      <c r="P12" s="33" t="n"/>
    </row>
    <row r="13" ht="15" customHeight="1">
      <c r="C13" s="34" t="n"/>
      <c r="L13" s="33" t="n"/>
      <c r="M13" s="33" t="n"/>
      <c r="N13" s="33" t="n"/>
      <c r="O13" s="33" t="n"/>
      <c r="P13" s="33" t="n"/>
    </row>
    <row r="14" ht="15" customHeight="1">
      <c r="C14" s="34" t="n"/>
      <c r="L14" s="33" t="n"/>
      <c r="M14" s="33" t="n"/>
      <c r="N14" s="33" t="n"/>
      <c r="O14" s="33" t="n"/>
      <c r="P14" s="33" t="n"/>
    </row>
    <row r="15" ht="15" customHeight="1">
      <c r="C15" s="34" t="n"/>
      <c r="L15" s="33" t="n"/>
      <c r="M15" s="33" t="n"/>
      <c r="N15" s="33" t="n"/>
      <c r="O15" s="33" t="n"/>
      <c r="P15" s="33" t="n"/>
    </row>
    <row r="16" ht="15" customHeight="1">
      <c r="C16" s="34" t="n"/>
      <c r="L16" s="33" t="n"/>
      <c r="M16" s="33" t="n"/>
      <c r="N16" s="33" t="n"/>
      <c r="O16" s="33" t="n"/>
      <c r="P16" s="33" t="n"/>
    </row>
    <row r="17" ht="15" customHeight="1">
      <c r="C17" s="34" t="n"/>
      <c r="H17" s="46" t="inlineStr">
        <is>
          <t xml:space="preserve">My email is </t>
        </is>
      </c>
      <c r="L17" s="33" t="n"/>
      <c r="M17" s="33" t="n"/>
      <c r="N17" s="33" t="n"/>
      <c r="O17" s="33" t="n"/>
      <c r="P17" s="33" t="n"/>
    </row>
    <row r="18" ht="15" customHeight="1">
      <c r="C18" s="34" t="n"/>
      <c r="H18" s="1" t="inlineStr">
        <is>
          <t>duminda_dewa@yahoo.com</t>
        </is>
      </c>
      <c r="L18" s="33" t="n"/>
      <c r="M18" s="33" t="n"/>
      <c r="N18" s="33" t="n"/>
      <c r="O18" s="33" t="n"/>
      <c r="P18" s="33" t="n"/>
    </row>
    <row r="19" ht="15" customHeight="1">
      <c r="C19" s="34" t="n"/>
      <c r="H19" s="46" t="inlineStr">
        <is>
          <t>if you want to reach me directly in the future</t>
        </is>
      </c>
      <c r="L19" s="33" t="n"/>
      <c r="M19" s="33" t="n"/>
      <c r="N19" s="33" t="n"/>
      <c r="O19" s="33" t="n"/>
      <c r="P19" s="33" t="n"/>
    </row>
    <row r="20" ht="15" customHeight="1">
      <c r="C20" s="35" t="n"/>
      <c r="L20" s="33" t="n"/>
      <c r="M20" s="33" t="n"/>
      <c r="N20" s="33" t="n"/>
      <c r="O20" s="33" t="n"/>
      <c r="P20" s="33" t="n"/>
    </row>
    <row r="21" ht="15" customHeight="1">
      <c r="C21" s="34" t="n"/>
      <c r="L21" s="33" t="n"/>
      <c r="M21" s="33" t="n"/>
      <c r="N21" s="33" t="n"/>
      <c r="O21" s="33" t="n"/>
      <c r="P21" s="33" t="n"/>
    </row>
    <row r="22" ht="15" customHeight="1">
      <c r="C22" s="34" t="n"/>
      <c r="L22" s="33" t="n"/>
      <c r="M22" s="33" t="n"/>
      <c r="N22" s="33" t="n"/>
      <c r="O22" s="33" t="n"/>
      <c r="P22" s="33" t="n"/>
    </row>
    <row r="23" ht="15" customHeight="1">
      <c r="C23" s="34" t="n"/>
      <c r="L23" s="33" t="n"/>
      <c r="M23" s="33" t="n"/>
      <c r="N23" s="33" t="n"/>
      <c r="O23" s="33" t="n"/>
      <c r="P23" s="33" t="n"/>
    </row>
    <row r="24" ht="15" customHeight="1">
      <c r="C24" s="34" t="n"/>
      <c r="L24" s="33" t="n"/>
      <c r="M24" s="33" t="n"/>
      <c r="N24" s="33" t="n"/>
      <c r="O24" s="33" t="n"/>
      <c r="P24" s="33" t="n"/>
    </row>
    <row r="25" ht="15" customHeight="1">
      <c r="C25" s="34" t="n"/>
      <c r="L25" s="33" t="n"/>
      <c r="M25" s="33" t="n"/>
      <c r="N25" s="33" t="n"/>
      <c r="O25" s="33" t="n"/>
      <c r="P25" s="33" t="n"/>
    </row>
    <row r="26" ht="15" customHeight="1">
      <c r="C26" s="35" t="n"/>
      <c r="L26" s="33" t="n"/>
      <c r="M26" s="33" t="n"/>
      <c r="N26" s="33" t="n"/>
      <c r="O26" s="33" t="n"/>
      <c r="P26" s="33" t="n"/>
    </row>
    <row r="27">
      <c r="L27" s="33" t="n"/>
      <c r="M27" s="33" t="n"/>
      <c r="N27" s="33" t="n"/>
      <c r="O27" s="33" t="n"/>
      <c r="P27" s="33" t="n"/>
    </row>
    <row r="28">
      <c r="L28" s="33" t="n"/>
      <c r="M28" s="33" t="n"/>
      <c r="N28" s="33" t="n"/>
      <c r="O28" s="33" t="n"/>
      <c r="P28" s="33" t="n"/>
    </row>
    <row r="29">
      <c r="L29" s="33" t="n"/>
      <c r="M29" s="33" t="n"/>
      <c r="N29" s="33" t="n"/>
      <c r="O29" s="33" t="n"/>
      <c r="P29" s="33" t="n"/>
    </row>
    <row r="30">
      <c r="L30" s="33" t="n"/>
      <c r="M30" s="33" t="n"/>
      <c r="N30" s="33" t="n"/>
      <c r="O30" s="33" t="n"/>
      <c r="P30" s="33" t="n"/>
    </row>
    <row r="31">
      <c r="L31" s="33" t="n"/>
      <c r="M31" s="33" t="n"/>
      <c r="N31" s="33" t="n"/>
      <c r="O31" s="33" t="n"/>
      <c r="P31" s="33" t="n"/>
    </row>
    <row r="32">
      <c r="L32" s="33" t="n"/>
      <c r="M32" s="33" t="n"/>
      <c r="N32" s="33" t="n"/>
      <c r="O32" s="33" t="n"/>
      <c r="P32" s="33" t="n"/>
    </row>
    <row r="33">
      <c r="L33" s="33" t="n"/>
      <c r="M33" s="33" t="n"/>
      <c r="N33" s="33" t="n"/>
      <c r="O33" s="33" t="n"/>
      <c r="P33" s="33" t="n"/>
    </row>
    <row r="34">
      <c r="L34" s="33" t="n"/>
      <c r="M34" s="33" t="n"/>
      <c r="N34" s="33" t="n"/>
      <c r="O34" s="33" t="n"/>
      <c r="P34" s="33" t="n"/>
    </row>
    <row r="37" ht="15" customFormat="1" customHeight="1" s="32">
      <c r="M37" s="46" t="n"/>
    </row>
    <row r="63" ht="15" customHeight="1">
      <c r="G63" s="1" t="n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/>
  <legacyDrawing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Y41"/>
  <sheetViews>
    <sheetView zoomScaleNormal="100" workbookViewId="0">
      <pane xSplit="5" topLeftCell="F1" activePane="topRight" state="frozen"/>
      <selection pane="topRight" activeCell="H13" sqref="H13"/>
    </sheetView>
  </sheetViews>
  <sheetFormatPr baseColWidth="10" defaultColWidth="9.140625" defaultRowHeight="14.25"/>
  <cols>
    <col width="17.28515625" customWidth="1" style="16" min="1" max="1"/>
    <col width="7.140625" customWidth="1" style="17" min="2" max="2"/>
    <col width="14" customWidth="1" style="47" min="3" max="3"/>
    <col width="4" customWidth="1" style="47" min="4" max="4"/>
    <col hidden="1" width="13.140625" customWidth="1" style="18" min="5" max="5"/>
    <col width="3.28515625" customWidth="1" style="18" min="6" max="6"/>
    <col width="27.85546875" customWidth="1" style="18" min="7" max="7"/>
    <col width="11.28515625" bestFit="1" customWidth="1" style="20" min="8" max="8"/>
    <col width="12.7109375" customWidth="1" style="18" min="9" max="9"/>
    <col width="9.140625" customWidth="1" style="18" min="10" max="11"/>
    <col hidden="1" width="38.28515625" customWidth="1" style="18" min="12" max="12"/>
    <col width="2.5703125" customWidth="1" style="19" min="13" max="13"/>
    <col width="9.140625" customWidth="1" style="31" min="14" max="23"/>
    <col width="9.140625" customWidth="1" style="18" min="24" max="67"/>
    <col width="9.140625" customWidth="1" style="18" min="68" max="16384"/>
  </cols>
  <sheetData>
    <row r="1" ht="15" customFormat="1" customHeight="1" s="13">
      <c r="A1" s="11" t="inlineStr">
        <is>
          <t>Date</t>
        </is>
      </c>
      <c r="B1" s="12" t="inlineStr">
        <is>
          <t>Qty</t>
        </is>
      </c>
      <c r="C1" s="48" t="inlineStr">
        <is>
          <t>Cost per share</t>
        </is>
      </c>
      <c r="D1" s="48" t="inlineStr">
        <is>
          <t>Total Cost</t>
        </is>
      </c>
      <c r="H1" s="14" t="n"/>
      <c r="M1" s="15" t="n"/>
      <c r="N1" s="30" t="n"/>
      <c r="O1" s="30" t="n"/>
      <c r="P1" s="30" t="n"/>
      <c r="Q1" s="30" t="n"/>
      <c r="R1" s="30" t="n"/>
      <c r="S1" s="30" t="n"/>
      <c r="T1" s="30" t="n"/>
      <c r="U1" s="30" t="n"/>
      <c r="V1" s="30" t="n"/>
      <c r="W1" s="30" t="n"/>
    </row>
    <row r="2" ht="15" customFormat="1" customHeight="1" s="13">
      <c r="A2" s="11" t="n"/>
      <c r="B2" s="12" t="n"/>
      <c r="C2" s="48" t="n"/>
      <c r="D2" s="48" t="n"/>
      <c r="H2" s="14" t="n"/>
      <c r="M2" s="15" t="n"/>
      <c r="N2" s="30" t="n"/>
      <c r="O2" s="30" t="n"/>
      <c r="P2" s="30" t="n"/>
      <c r="Q2" s="30" t="n"/>
      <c r="R2" s="30" t="n"/>
      <c r="S2" s="30" t="n"/>
      <c r="T2" s="30" t="n"/>
      <c r="U2" s="30" t="n"/>
      <c r="V2" s="30" t="n"/>
      <c r="W2" s="30" t="n"/>
    </row>
    <row r="3" ht="15" customFormat="1" customHeight="1" s="13">
      <c r="A3" s="36" t="inlineStr">
        <is>
          <t>(My notes, need to keep these)</t>
        </is>
      </c>
      <c r="B3" s="12" t="n"/>
      <c r="C3" s="48" t="n"/>
      <c r="D3" s="48" t="n"/>
      <c r="G3" s="36" t="inlineStr">
        <is>
          <t>(need to update with the latest data from internet)</t>
        </is>
      </c>
      <c r="H3" s="14" t="n"/>
      <c r="M3" s="15" t="n"/>
      <c r="N3" s="36" t="inlineStr">
        <is>
          <t>(My notes, need to keep these)</t>
        </is>
      </c>
      <c r="O3" s="30" t="n"/>
      <c r="P3" s="30" t="n"/>
      <c r="Q3" s="30" t="n"/>
      <c r="R3" s="30" t="n"/>
      <c r="S3" s="30" t="n"/>
      <c r="T3" s="30" t="n"/>
      <c r="U3" s="30" t="n"/>
      <c r="V3" s="30" t="n"/>
      <c r="W3" s="30" t="n"/>
    </row>
    <row r="4" ht="15" customFormat="1" customHeight="1" s="13">
      <c r="A4" s="11" t="n"/>
      <c r="B4" s="12" t="n"/>
      <c r="C4" s="48" t="n"/>
      <c r="D4" s="48" t="n"/>
      <c r="H4" s="14" t="n"/>
      <c r="M4" s="15" t="n"/>
      <c r="N4" s="30" t="n"/>
      <c r="O4" s="30" t="n"/>
      <c r="P4" s="30" t="n"/>
      <c r="Q4" s="30" t="n"/>
      <c r="R4" s="30" t="n"/>
      <c r="S4" s="30" t="n"/>
      <c r="T4" s="30" t="n"/>
      <c r="U4" s="30" t="n"/>
      <c r="V4" s="30" t="n"/>
      <c r="W4" s="30" t="n"/>
    </row>
    <row r="5" ht="15" customHeight="1">
      <c r="A5" s="16" t="n">
        <v>45404</v>
      </c>
      <c r="B5" s="49" t="n">
        <v>0.017</v>
      </c>
      <c r="C5" s="47" t="n">
        <v>538.8977</v>
      </c>
      <c r="D5" s="47" t="n">
        <v>9.1612609</v>
      </c>
      <c r="G5" s="18" t="inlineStr">
        <is>
          <t xml:space="preserve">Last Reviewed </t>
        </is>
      </c>
      <c r="H5" s="70" t="inlineStr">
        <is>
          <t>2024/06/30</t>
        </is>
      </c>
      <c r="N5" s="29" t="inlineStr">
        <is>
          <t>CHECKLIST - Why should I NOT buy ?</t>
        </is>
      </c>
      <c r="O5" s="37" t="n"/>
      <c r="P5" s="37" t="n"/>
      <c r="Q5" s="37" t="n"/>
      <c r="R5" s="37" t="n"/>
      <c r="S5" s="37" t="n"/>
      <c r="T5" s="37" t="n"/>
      <c r="U5" s="37" t="n"/>
      <c r="V5" s="37" t="n"/>
      <c r="W5" s="37" t="n"/>
      <c r="X5" s="37" t="n"/>
      <c r="Y5" s="37" t="n"/>
    </row>
    <row r="6" ht="15" customHeight="1">
      <c r="A6" s="16" t="n">
        <v>45335</v>
      </c>
      <c r="B6" s="17" t="n">
        <v>2</v>
      </c>
      <c r="C6" s="47" t="n">
        <v>537.11</v>
      </c>
      <c r="D6" s="47" t="n">
        <v>1074.22</v>
      </c>
      <c r="G6" s="18" t="inlineStr">
        <is>
          <t xml:space="preserve">Company </t>
        </is>
      </c>
      <c r="H6" s="20" t="inlineStr">
        <is>
          <t>Roper Technologies</t>
        </is>
      </c>
      <c r="N6" s="29" t="inlineStr">
        <is>
          <t>No</t>
        </is>
      </c>
      <c r="O6" s="37" t="inlineStr">
        <is>
          <t>Asymetric Risk - High downside, Low upside</t>
        </is>
      </c>
      <c r="P6" s="37" t="n"/>
      <c r="Q6" s="37" t="n"/>
      <c r="R6" s="37" t="n"/>
      <c r="S6" s="37" t="n"/>
      <c r="T6" s="37" t="n"/>
      <c r="U6" s="37" t="n"/>
      <c r="V6" s="37" t="n"/>
      <c r="W6" s="37" t="n"/>
      <c r="X6" s="37" t="n"/>
      <c r="Y6" s="37" t="n"/>
    </row>
    <row r="7" ht="15" customHeight="1">
      <c r="A7" s="16" t="n">
        <v>45320</v>
      </c>
      <c r="B7" s="17" t="n">
        <v>1</v>
      </c>
      <c r="C7" s="47" t="n">
        <v>549.3099999999999</v>
      </c>
      <c r="D7" s="47" t="n">
        <v>549.3099999999999</v>
      </c>
      <c r="G7" s="18" t="inlineStr">
        <is>
          <t xml:space="preserve">Stock ticker </t>
        </is>
      </c>
      <c r="H7" s="71" t="inlineStr">
        <is>
          <t>ROP</t>
        </is>
      </c>
      <c r="N7" s="29" t="inlineStr">
        <is>
          <t>Maybe</t>
        </is>
      </c>
      <c r="O7" s="37" t="inlineStr">
        <is>
          <t>Potential for technology disruption</t>
        </is>
      </c>
      <c r="P7" s="37" t="n"/>
      <c r="Q7" s="37" t="n"/>
      <c r="R7" s="37" t="n"/>
      <c r="S7" s="37" t="n"/>
      <c r="T7" s="37" t="inlineStr">
        <is>
          <t>Possible</t>
        </is>
      </c>
      <c r="U7" s="37" t="n"/>
      <c r="V7" s="37" t="n"/>
      <c r="W7" s="37" t="n"/>
      <c r="X7" s="37" t="n"/>
      <c r="Y7" s="37" t="n"/>
    </row>
    <row r="8" ht="15" customHeight="1">
      <c r="A8" s="16" t="n">
        <v>45314</v>
      </c>
      <c r="B8" s="49" t="n">
        <v>0.011</v>
      </c>
      <c r="C8" s="47" t="n">
        <v>550</v>
      </c>
      <c r="D8" s="47" t="n">
        <v>6.05</v>
      </c>
      <c r="G8" s="18" t="inlineStr">
        <is>
          <t>My Money</t>
        </is>
      </c>
      <c r="H8" s="50">
        <f>SUM(D2:D200)</f>
        <v/>
      </c>
      <c r="N8" s="29" t="inlineStr">
        <is>
          <t>No</t>
        </is>
      </c>
      <c r="O8" s="37" t="inlineStr">
        <is>
          <t>Inversion - What could kill the company ?</t>
        </is>
      </c>
      <c r="P8" s="37" t="n"/>
      <c r="Q8" s="37" t="n"/>
      <c r="R8" s="37" t="n"/>
      <c r="S8" s="37" t="n"/>
      <c r="T8" s="37" t="inlineStr">
        <is>
          <t>unlikely</t>
        </is>
      </c>
      <c r="U8" s="37" t="n"/>
      <c r="V8" s="37" t="n"/>
      <c r="W8" s="37" t="n"/>
      <c r="X8" s="37" t="n"/>
      <c r="Y8" s="37" t="n"/>
    </row>
    <row r="9" ht="15" customHeight="1">
      <c r="A9" s="16" t="n">
        <v>45310</v>
      </c>
      <c r="B9" s="17" t="n">
        <v>1</v>
      </c>
      <c r="C9" s="47" t="n">
        <v>543.3</v>
      </c>
      <c r="D9" s="47" t="n">
        <v>543.3</v>
      </c>
      <c r="N9" s="29" t="inlineStr">
        <is>
          <t>No</t>
        </is>
      </c>
      <c r="O9" s="37" t="inlineStr">
        <is>
          <t>High Cyclical Variation ?</t>
        </is>
      </c>
      <c r="P9" s="37" t="n"/>
      <c r="Q9" s="37" t="n"/>
      <c r="R9" s="37" t="n"/>
      <c r="S9" s="37" t="n"/>
      <c r="T9" s="37" t="n"/>
      <c r="U9" s="37" t="n"/>
      <c r="V9" s="37" t="n"/>
      <c r="W9" s="37" t="n"/>
      <c r="X9" s="37" t="n"/>
      <c r="Y9" s="37" t="n"/>
    </row>
    <row r="10" ht="15" customHeight="1">
      <c r="A10" s="16" t="n">
        <v>45251</v>
      </c>
      <c r="B10" s="17" t="n">
        <v>2</v>
      </c>
      <c r="C10" s="47" t="n">
        <v>524.52</v>
      </c>
      <c r="D10" s="47" t="n">
        <v>1049.04</v>
      </c>
      <c r="N10" s="29" t="inlineStr">
        <is>
          <t>Maybe</t>
        </is>
      </c>
      <c r="O10" s="37" t="inlineStr">
        <is>
          <t>Am I paying too high price ?</t>
        </is>
      </c>
      <c r="P10" s="37" t="n"/>
      <c r="Q10" s="37" t="n"/>
      <c r="R10" s="37" t="n"/>
      <c r="S10" s="37" t="n"/>
      <c r="T10" s="37" t="n"/>
      <c r="U10" s="37" t="n"/>
      <c r="V10" s="37" t="n"/>
      <c r="W10" s="37" t="n"/>
      <c r="X10" s="37" t="n"/>
      <c r="Y10" s="37" t="n"/>
    </row>
    <row r="11" ht="15" customHeight="1">
      <c r="A11" s="16" t="n">
        <v>45236</v>
      </c>
      <c r="B11" s="17" t="n">
        <v>1</v>
      </c>
      <c r="C11" s="47" t="n">
        <v>504.66</v>
      </c>
      <c r="D11" s="47" t="n">
        <v>504.66</v>
      </c>
      <c r="G11" s="18" t="inlineStr">
        <is>
          <t>Current price</t>
        </is>
      </c>
      <c r="H11" s="51" t="n">
        <v>550</v>
      </c>
      <c r="N11" s="29" t="inlineStr">
        <is>
          <t>Yes</t>
        </is>
      </c>
      <c r="O11" s="37" t="inlineStr">
        <is>
          <t xml:space="preserve">Is there anything I don’t know ? </t>
        </is>
      </c>
      <c r="P11" s="37" t="n"/>
      <c r="Q11" s="37" t="n"/>
      <c r="R11" s="37" t="n"/>
      <c r="S11" s="37" t="n"/>
      <c r="T11" s="37" t="inlineStr">
        <is>
          <t>How does software companies value intangible assets?</t>
        </is>
      </c>
      <c r="U11" s="37" t="n"/>
      <c r="V11" s="37" t="n"/>
      <c r="W11" s="37" t="n"/>
      <c r="X11" s="37" t="n"/>
      <c r="Y11" s="37" t="n"/>
    </row>
    <row r="12" ht="15" customHeight="1">
      <c r="A12" s="16" t="n">
        <v>45222</v>
      </c>
      <c r="B12" s="49" t="n">
        <v>0.007</v>
      </c>
      <c r="C12" s="47" t="n">
        <v>482.0344</v>
      </c>
      <c r="D12" s="47" t="n">
        <v>3.3742408</v>
      </c>
      <c r="G12" s="18" t="inlineStr">
        <is>
          <t>My average cost per share</t>
        </is>
      </c>
      <c r="H12" s="52">
        <f>SUM(D2:D200)/J12</f>
        <v/>
      </c>
      <c r="I12" s="18" t="inlineStr">
        <is>
          <t>Num shares</t>
        </is>
      </c>
      <c r="J12" s="49">
        <f>SUM(B2:B200)</f>
        <v/>
      </c>
      <c r="N12" s="37" t="n"/>
      <c r="O12" s="37" t="n"/>
      <c r="P12" s="37" t="n"/>
      <c r="Q12" s="37" t="n"/>
      <c r="R12" s="37" t="n"/>
      <c r="S12" s="37" t="n"/>
      <c r="T12" s="37" t="n"/>
      <c r="U12" s="37" t="n"/>
      <c r="V12" s="37" t="n"/>
      <c r="W12" s="37" t="n"/>
      <c r="X12" s="37" t="n"/>
      <c r="Y12" s="37" t="n"/>
    </row>
    <row r="13" ht="15" customHeight="1">
      <c r="A13" s="16" t="n">
        <v>45189</v>
      </c>
      <c r="B13" s="17" t="n">
        <v>2</v>
      </c>
      <c r="C13" s="47" t="n">
        <v>503.18</v>
      </c>
      <c r="D13" s="47" t="n">
        <v>1006.36</v>
      </c>
      <c r="G13" s="18" t="inlineStr">
        <is>
          <t>Fair value of the stock</t>
        </is>
      </c>
      <c r="H13" s="53">
        <f>H27/H32</f>
        <v/>
      </c>
      <c r="I13" s="18" t="inlineStr">
        <is>
          <t>Book Value / Num shares</t>
        </is>
      </c>
      <c r="N13" s="37" t="n"/>
      <c r="O13" s="37" t="n"/>
      <c r="P13" s="37" t="n"/>
      <c r="Q13" s="37" t="n"/>
      <c r="R13" s="37" t="n"/>
      <c r="S13" s="37" t="n"/>
      <c r="T13" s="37" t="n"/>
      <c r="U13" s="37" t="n"/>
      <c r="V13" s="37" t="n"/>
      <c r="W13" s="37" t="n"/>
      <c r="X13" s="37" t="n"/>
      <c r="Y13" s="37" t="n"/>
    </row>
    <row r="14">
      <c r="A14" s="16" t="n">
        <v>45146</v>
      </c>
      <c r="B14" s="17" t="n">
        <v>1</v>
      </c>
      <c r="C14" s="47" t="n">
        <v>490</v>
      </c>
      <c r="D14" s="47" t="n">
        <v>490</v>
      </c>
      <c r="G14" s="18" t="inlineStr">
        <is>
          <t>When to buy crazy</t>
        </is>
      </c>
      <c r="H14" s="51" t="n">
        <v>400</v>
      </c>
      <c r="I14" s="18" t="inlineStr">
        <is>
          <t>up to another</t>
        </is>
      </c>
      <c r="J14" s="54" t="n">
        <v>5000</v>
      </c>
      <c r="N14" s="37" t="n"/>
      <c r="O14" s="37" t="n"/>
      <c r="P14" s="37" t="n"/>
      <c r="Q14" s="37" t="n"/>
      <c r="R14" s="37" t="n"/>
      <c r="S14" s="37" t="n"/>
      <c r="T14" s="37" t="n"/>
      <c r="U14" s="37" t="n"/>
      <c r="V14" s="37" t="n"/>
      <c r="W14" s="37" t="n"/>
      <c r="X14" s="37" t="n"/>
      <c r="Y14" s="37" t="n"/>
    </row>
    <row r="15">
      <c r="A15" s="16" t="n">
        <v>45146</v>
      </c>
      <c r="B15" s="17" t="n">
        <v>1</v>
      </c>
      <c r="C15" s="47" t="n">
        <v>492.7</v>
      </c>
      <c r="D15" s="47" t="n">
        <v>492.7</v>
      </c>
      <c r="G15" s="18" t="inlineStr">
        <is>
          <t>FCF per share</t>
        </is>
      </c>
      <c r="N15" s="37" t="n"/>
      <c r="O15" s="37" t="n"/>
      <c r="P15" s="37" t="n"/>
      <c r="Q15" s="37" t="n"/>
      <c r="R15" s="37" t="n"/>
      <c r="S15" s="37" t="n"/>
      <c r="T15" s="37" t="n"/>
      <c r="U15" s="37" t="n"/>
      <c r="V15" s="37" t="n"/>
      <c r="W15" s="37" t="n"/>
      <c r="X15" s="37" t="n"/>
      <c r="Y15" s="37" t="n"/>
    </row>
    <row r="16">
      <c r="A16" s="16" t="n">
        <v>45139</v>
      </c>
      <c r="B16" s="17" t="n">
        <v>1</v>
      </c>
      <c r="C16" s="47" t="n">
        <v>490</v>
      </c>
      <c r="D16" s="47" t="n">
        <v>490</v>
      </c>
      <c r="N16" s="37" t="n"/>
      <c r="O16" s="37" t="n"/>
      <c r="P16" s="37" t="n"/>
      <c r="Q16" s="37" t="n"/>
      <c r="R16" s="37" t="n"/>
      <c r="S16" s="37" t="n"/>
      <c r="T16" s="37" t="n"/>
      <c r="U16" s="37" t="n"/>
      <c r="V16" s="37" t="n"/>
      <c r="W16" s="37" t="n"/>
      <c r="X16" s="37" t="n"/>
      <c r="Y16" s="37" t="n"/>
    </row>
    <row r="17" ht="15" customHeight="1">
      <c r="N17" s="29" t="inlineStr">
        <is>
          <t>CHECKLIST - Why should I buy ?</t>
        </is>
      </c>
      <c r="O17" s="37" t="n"/>
      <c r="P17" s="37" t="n"/>
      <c r="Q17" s="37" t="n"/>
      <c r="R17" s="37" t="n"/>
      <c r="S17" s="37" t="n"/>
      <c r="T17" s="37" t="n"/>
      <c r="U17" s="37" t="n"/>
      <c r="V17" s="37" t="n"/>
      <c r="W17" s="37" t="n"/>
      <c r="X17" s="37" t="n"/>
      <c r="Y17" s="37" t="n"/>
    </row>
    <row r="18" ht="15" customHeight="1">
      <c r="G18" s="18" t="inlineStr">
        <is>
          <t xml:space="preserve">Revenue </t>
        </is>
      </c>
      <c r="H18" s="72" t="n">
        <v>1.716</v>
      </c>
      <c r="I18" s="18" t="inlineStr">
        <is>
          <t>Billion  TTM</t>
        </is>
      </c>
      <c r="J18" s="18" t="inlineStr">
        <is>
          <t>Trailing 12 months</t>
        </is>
      </c>
      <c r="N18" s="29" t="inlineStr">
        <is>
          <t>No</t>
        </is>
      </c>
      <c r="O18" s="37" t="inlineStr">
        <is>
          <t>Fair Price today</t>
        </is>
      </c>
      <c r="P18" s="37" t="n"/>
      <c r="Q18" s="55">
        <f>H11</f>
        <v/>
      </c>
      <c r="R18" s="37" t="n"/>
      <c r="S18" s="37" t="n"/>
      <c r="T18" s="37" t="n"/>
      <c r="U18" s="37" t="n"/>
      <c r="V18" s="37" t="n"/>
      <c r="W18" s="37" t="n"/>
      <c r="X18" s="37" t="n"/>
      <c r="Y18" s="37" t="n"/>
    </row>
    <row r="19" ht="15" customHeight="1">
      <c r="G19" s="18" t="inlineStr">
        <is>
          <t>Expenses</t>
        </is>
      </c>
      <c r="H19" s="21" t="n">
        <v>699</v>
      </c>
      <c r="I19" s="18" t="inlineStr">
        <is>
          <t>Billion  TTM</t>
        </is>
      </c>
      <c r="N19" s="29" t="inlineStr">
        <is>
          <t>Yes</t>
        </is>
      </c>
      <c r="O19" s="37" t="inlineStr">
        <is>
          <t>Quality of Management, Culture, Long Tenure</t>
        </is>
      </c>
      <c r="P19" s="37" t="n"/>
      <c r="Q19" s="37" t="n"/>
      <c r="R19" s="37" t="n"/>
      <c r="S19" s="37" t="n"/>
      <c r="T19" s="37" t="n"/>
      <c r="U19" s="37" t="n"/>
      <c r="V19" s="37" t="inlineStr">
        <is>
          <t>previous history of founders</t>
        </is>
      </c>
      <c r="W19" s="37" t="n"/>
      <c r="X19" s="37" t="n"/>
      <c r="Y19" s="37" t="n"/>
    </row>
    <row r="20" ht="15" customHeight="1">
      <c r="G20" s="18" t="inlineStr">
        <is>
          <t xml:space="preserve">Net Inome </t>
        </is>
      </c>
      <c r="H20" s="21" t="n">
        <v>337</v>
      </c>
      <c r="I20" s="18" t="inlineStr">
        <is>
          <t>Billion  TTM</t>
        </is>
      </c>
      <c r="N20" s="29" t="inlineStr">
        <is>
          <t>maybe</t>
        </is>
      </c>
      <c r="O20" s="37" t="inlineStr">
        <is>
          <t>Moat, Premium Brand, pricing power, hard to eat by competitors</t>
        </is>
      </c>
      <c r="P20" s="37" t="n"/>
      <c r="Q20" s="37" t="n"/>
      <c r="R20" s="37" t="n"/>
      <c r="S20" s="37" t="n"/>
      <c r="T20" s="37" t="n"/>
      <c r="U20" s="37" t="n"/>
      <c r="V20" s="37" t="n"/>
      <c r="W20" s="37" t="n"/>
      <c r="X20" s="37" t="n"/>
      <c r="Y20" s="37" t="n"/>
    </row>
    <row r="21" ht="15" customHeight="1">
      <c r="G21" s="18" t="inlineStr">
        <is>
          <t>Net Income Margin</t>
        </is>
      </c>
      <c r="H21" s="56">
        <f>H20/H18</f>
        <v/>
      </c>
      <c r="I21" s="18" t="inlineStr">
        <is>
          <t>Net income / Revenue TTM</t>
        </is>
      </c>
      <c r="N21" s="29" t="inlineStr">
        <is>
          <t>Yes</t>
        </is>
      </c>
      <c r="O21" s="37" t="inlineStr">
        <is>
          <t>Low Debt</t>
        </is>
      </c>
      <c r="P21" s="37" t="n"/>
      <c r="Q21" s="37" t="n"/>
      <c r="R21" s="37" t="n"/>
      <c r="S21" s="37" t="n"/>
      <c r="T21" s="37" t="n"/>
      <c r="U21" s="37" t="n"/>
      <c r="V21" s="37" t="inlineStr">
        <is>
          <t>?</t>
        </is>
      </c>
      <c r="W21" s="37" t="n"/>
      <c r="X21" s="37" t="n"/>
      <c r="Y21" s="37" t="n"/>
    </row>
    <row r="22" ht="15" customHeight="1">
      <c r="G22" s="18" t="inlineStr">
        <is>
          <t>EPS</t>
        </is>
      </c>
      <c r="N22" s="29" t="inlineStr">
        <is>
          <t>Yes</t>
        </is>
      </c>
      <c r="O22" s="37" t="inlineStr">
        <is>
          <t>Asymetric potential - Low downside, High upside</t>
        </is>
      </c>
      <c r="P22" s="37" t="n"/>
      <c r="Q22" s="37" t="n"/>
      <c r="R22" s="37" t="n"/>
      <c r="S22" s="37" t="n"/>
      <c r="T22" s="37" t="n"/>
      <c r="U22" s="37" t="n"/>
      <c r="V22" s="37" t="n"/>
      <c r="W22" s="37" t="n"/>
      <c r="X22" s="37" t="n"/>
      <c r="Y22" s="37" t="n"/>
    </row>
    <row r="23" ht="15" customHeight="1">
      <c r="B23" s="57" t="n"/>
      <c r="G23" s="18" t="inlineStr">
        <is>
          <t>PE ratio</t>
        </is>
      </c>
      <c r="H23" s="22">
        <f>H11/J23</f>
        <v/>
      </c>
      <c r="I23" s="18" t="inlineStr">
        <is>
          <t>EPS</t>
        </is>
      </c>
      <c r="J23" s="18">
        <f>H20/H32</f>
        <v/>
      </c>
      <c r="N23" s="29" t="inlineStr">
        <is>
          <t>Yes</t>
        </is>
      </c>
      <c r="O23" s="37" t="inlineStr">
        <is>
          <t>Growth Potential - scale 10x in 10yrs</t>
        </is>
      </c>
      <c r="P23" s="37" t="n"/>
      <c r="Q23" s="37" t="n"/>
      <c r="R23" s="37" t="n"/>
      <c r="S23" s="37" t="n"/>
      <c r="T23" s="37" t="n"/>
      <c r="U23" s="37" t="n"/>
      <c r="V23" s="37" t="n"/>
      <c r="W23" s="37" t="n"/>
      <c r="X23" s="37" t="n"/>
      <c r="Y23" s="37" t="n"/>
    </row>
    <row r="24" ht="15" customHeight="1">
      <c r="N24" s="29" t="inlineStr">
        <is>
          <t>Yes</t>
        </is>
      </c>
      <c r="O24" s="37" t="inlineStr">
        <is>
          <t>Benefit from long term secular (non-cyclical) trends</t>
        </is>
      </c>
      <c r="P24" s="37" t="n"/>
      <c r="Q24" s="37" t="n"/>
      <c r="R24" s="37" t="n"/>
      <c r="S24" s="37" t="n"/>
      <c r="T24" s="37" t="n"/>
      <c r="U24" s="37" t="n"/>
      <c r="V24" s="37" t="inlineStr">
        <is>
          <t>yes AI</t>
        </is>
      </c>
      <c r="W24" s="37" t="n"/>
      <c r="X24" s="37" t="n"/>
      <c r="Y24" s="37" t="n"/>
    </row>
    <row r="25" ht="15" customHeight="1">
      <c r="G25" s="18" t="inlineStr">
        <is>
          <t>Assets</t>
        </is>
      </c>
      <c r="H25" s="21" t="n">
        <v>28.167</v>
      </c>
      <c r="I25" s="18" t="inlineStr">
        <is>
          <t>Billion</t>
        </is>
      </c>
      <c r="N25" s="29" t="inlineStr">
        <is>
          <t>No</t>
        </is>
      </c>
      <c r="O25" s="37" t="inlineStr">
        <is>
          <t>Can it withstand a big recession ?</t>
        </is>
      </c>
      <c r="P25" s="37" t="n"/>
      <c r="Q25" s="37" t="n"/>
      <c r="R25" s="37" t="n"/>
      <c r="S25" s="37" t="n"/>
      <c r="T25" s="37" t="n"/>
      <c r="U25" s="37" t="n"/>
      <c r="V25" s="37" t="n"/>
      <c r="W25" s="37" t="n"/>
      <c r="X25" s="37" t="n"/>
      <c r="Y25" s="37" t="n"/>
    </row>
    <row r="26">
      <c r="G26" s="18" t="inlineStr">
        <is>
          <t>Liabilities</t>
        </is>
      </c>
      <c r="H26" s="21" t="n">
        <v>12.181</v>
      </c>
      <c r="I26" s="18" t="inlineStr">
        <is>
          <t>Billion</t>
        </is>
      </c>
      <c r="N26" s="37" t="n"/>
      <c r="O26" s="37" t="n"/>
      <c r="P26" s="37" t="n"/>
      <c r="Q26" s="37" t="n"/>
      <c r="R26" s="37" t="n"/>
      <c r="S26" s="37" t="n"/>
      <c r="T26" s="37" t="n"/>
      <c r="U26" s="37" t="n"/>
      <c r="V26" s="37" t="n"/>
      <c r="W26" s="37" t="n"/>
      <c r="X26" s="37" t="n"/>
      <c r="Y26" s="37" t="n"/>
    </row>
    <row r="27">
      <c r="G27" s="18" t="inlineStr">
        <is>
          <t>Book Value (Share equity)</t>
        </is>
      </c>
      <c r="H27" s="20">
        <f>H25-H26</f>
        <v/>
      </c>
      <c r="I27" s="18" t="inlineStr">
        <is>
          <t>Billion</t>
        </is>
      </c>
    </row>
    <row r="28">
      <c r="G28" s="18" t="inlineStr">
        <is>
          <t>Current ratio</t>
        </is>
      </c>
      <c r="H28" s="23">
        <f>H25/H26</f>
        <v/>
      </c>
      <c r="I28" s="18" t="inlineStr">
        <is>
          <t>assets/liabilities</t>
        </is>
      </c>
    </row>
    <row r="29">
      <c r="G29" s="18" t="inlineStr">
        <is>
          <t>Debt to equity ratio</t>
        </is>
      </c>
      <c r="H29" s="58">
        <f>H26/H27</f>
        <v/>
      </c>
      <c r="I29" s="18" t="inlineStr">
        <is>
          <t>liabilities/equity</t>
        </is>
      </c>
    </row>
    <row r="30">
      <c r="H30" s="18" t="n"/>
    </row>
    <row r="31">
      <c r="G31" s="18" t="inlineStr">
        <is>
          <t>Market cap</t>
        </is>
      </c>
      <c r="H31" s="20" t="n">
        <v>60.022</v>
      </c>
      <c r="I31" s="18" t="inlineStr">
        <is>
          <t>Billion</t>
        </is>
      </c>
    </row>
    <row r="32">
      <c r="G32" s="18" t="inlineStr">
        <is>
          <t>Num shares</t>
        </is>
      </c>
      <c r="H32" s="21" t="inlineStr">
        <is>
          <t>108</t>
        </is>
      </c>
      <c r="I32" s="18" t="inlineStr">
        <is>
          <t>Billion</t>
        </is>
      </c>
    </row>
    <row r="33">
      <c r="G33" s="18" t="inlineStr">
        <is>
          <t xml:space="preserve">Dividend </t>
        </is>
      </c>
      <c r="H33" s="56" t="n">
        <v>0</v>
      </c>
    </row>
    <row r="34">
      <c r="G34" s="18" t="inlineStr">
        <is>
          <t>Free cash Flow</t>
        </is>
      </c>
    </row>
    <row r="35" ht="15" customHeight="1">
      <c r="G35" s="18" t="inlineStr">
        <is>
          <t>SGA</t>
        </is>
      </c>
      <c r="H35" t="n">
        <v>699</v>
      </c>
    </row>
    <row r="36">
      <c r="G36" s="36" t="inlineStr">
        <is>
          <t>(some of these cells have formulas)</t>
        </is>
      </c>
    </row>
    <row r="37">
      <c r="G37" s="36" t="inlineStr">
        <is>
          <t>(but we can also get the values from website )</t>
        </is>
      </c>
    </row>
    <row r="39">
      <c r="G39" s="43" t="inlineStr">
        <is>
          <t>We can consider this source also - it has APIs and no need to scarpe from html</t>
        </is>
      </c>
    </row>
    <row r="40">
      <c r="G40" s="43" t="inlineStr">
        <is>
          <t>https://site.financialmodelingprep.com/developer/docs#balance-statements-as-reported-financial-statements</t>
        </is>
      </c>
    </row>
    <row r="41">
      <c r="G41" s="43" t="inlineStr">
        <is>
          <t>but its is up to you, if you think getting from macrotrends is easy, that is ok</t>
        </is>
      </c>
    </row>
  </sheetData>
  <conditionalFormatting sqref="N6:N11">
    <cfRule type="cellIs" priority="1" operator="equal" dxfId="5">
      <formula>"Maybe"</formula>
    </cfRule>
    <cfRule type="cellIs" priority="5" operator="equal" dxfId="1">
      <formula>"No"</formula>
    </cfRule>
    <cfRule type="cellIs" priority="6" operator="equal" dxfId="0">
      <formula>"Yes"</formula>
    </cfRule>
  </conditionalFormatting>
  <conditionalFormatting sqref="N18:N25">
    <cfRule type="cellIs" priority="2" operator="equal" dxfId="2">
      <formula>"Maybe"</formula>
    </cfRule>
    <cfRule type="cellIs" priority="3" operator="equal" dxfId="1">
      <formula>"Yes"</formula>
    </cfRule>
    <cfRule type="cellIs" priority="4" operator="equal" dxfId="0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T86"/>
  <sheetViews>
    <sheetView topLeftCell="A7" workbookViewId="0">
      <pane xSplit="5" topLeftCell="F1" activePane="topRight" state="frozen"/>
      <selection pane="topRight" activeCell="G15" sqref="G15"/>
    </sheetView>
  </sheetViews>
  <sheetFormatPr baseColWidth="10" defaultColWidth="9.140625" defaultRowHeight="14.25"/>
  <cols>
    <col width="17.28515625" customWidth="1" style="16" min="1" max="1"/>
    <col width="7.140625" customWidth="1" style="17" min="2" max="2"/>
    <col width="15.7109375" customWidth="1" style="47" min="3" max="3"/>
    <col width="12.28515625" customWidth="1" style="47" min="4" max="4"/>
    <col width="6" customWidth="1" style="18" min="5" max="5"/>
    <col width="3.28515625" customWidth="1" style="18" min="6" max="6"/>
    <col width="27.85546875" customWidth="1" style="18" min="7" max="7"/>
    <col width="11.28515625" bestFit="1" customWidth="1" style="20" min="8" max="8"/>
    <col width="11.5703125" customWidth="1" style="18" min="9" max="9"/>
    <col width="9.140625" customWidth="1" style="18" min="10" max="12"/>
    <col width="2.5703125" customWidth="1" style="19" min="13" max="13"/>
    <col width="9.140625" customWidth="1" style="18" min="14" max="14"/>
    <col width="11.28515625" bestFit="1" customWidth="1" style="18" min="15" max="15"/>
    <col width="9.140625" customWidth="1" style="18" min="16" max="59"/>
    <col width="9.140625" customWidth="1" style="18" min="60" max="16384"/>
  </cols>
  <sheetData>
    <row r="1" ht="15" customFormat="1" customHeight="1" s="13">
      <c r="A1" s="11" t="inlineStr">
        <is>
          <t>Date</t>
        </is>
      </c>
      <c r="B1" s="12" t="inlineStr">
        <is>
          <t>Qty</t>
        </is>
      </c>
      <c r="C1" s="48" t="inlineStr">
        <is>
          <t>Cost per share</t>
        </is>
      </c>
      <c r="D1" s="48" t="inlineStr">
        <is>
          <t>Total Cost</t>
        </is>
      </c>
      <c r="H1" s="14" t="n"/>
      <c r="M1" s="15" t="n"/>
    </row>
    <row r="2" ht="15" customFormat="1" customHeight="1" s="13">
      <c r="A2" s="11" t="n"/>
      <c r="B2" s="12" t="n"/>
      <c r="C2" s="48" t="n"/>
      <c r="D2" s="48" t="n"/>
      <c r="H2" s="14" t="n"/>
      <c r="M2" s="15" t="n"/>
    </row>
    <row r="3" ht="15" customFormat="1" customHeight="1" s="13">
      <c r="A3" s="36" t="inlineStr">
        <is>
          <t>(My notes, need to keep these)</t>
        </is>
      </c>
      <c r="B3" s="12" t="n"/>
      <c r="C3" s="48" t="n"/>
      <c r="D3" s="48" t="n"/>
      <c r="G3" s="36" t="inlineStr">
        <is>
          <t>(need to update with the latest data from internet)</t>
        </is>
      </c>
      <c r="H3" s="14" t="n"/>
      <c r="M3" s="15" t="n"/>
      <c r="N3" s="36" t="inlineStr">
        <is>
          <t>(My notes, need to keep these)</t>
        </is>
      </c>
      <c r="O3" s="30" t="n"/>
    </row>
    <row r="4" ht="15" customFormat="1" customHeight="1" s="13">
      <c r="A4" s="11" t="n"/>
      <c r="B4" s="12" t="n"/>
      <c r="C4" s="48" t="n"/>
      <c r="D4" s="48" t="n"/>
      <c r="H4" s="14" t="n"/>
      <c r="M4" s="15" t="n"/>
    </row>
    <row r="5" ht="15" customHeight="1">
      <c r="A5" s="8" t="n">
        <v>45328</v>
      </c>
      <c r="B5" s="9" t="n">
        <v>23</v>
      </c>
      <c r="C5" s="59" t="n">
        <v>45</v>
      </c>
      <c r="D5" s="59">
        <f>B5*C5</f>
        <v/>
      </c>
      <c r="G5" s="18" t="inlineStr">
        <is>
          <t xml:space="preserve">Last Reviewed </t>
        </is>
      </c>
      <c r="H5" s="70" t="inlineStr">
        <is>
          <t>2024/06/30</t>
        </is>
      </c>
      <c r="N5" s="28" t="inlineStr">
        <is>
          <t>CHECKLIST - Why should I NOT buy ?</t>
        </is>
      </c>
      <c r="P5" s="6" t="n"/>
      <c r="Q5" s="6" t="n"/>
      <c r="R5" s="6" t="n"/>
      <c r="S5" s="6" t="n"/>
      <c r="T5" s="6" t="n"/>
    </row>
    <row r="6" ht="15" customHeight="1">
      <c r="A6" s="8" t="n">
        <v>45310</v>
      </c>
      <c r="B6" s="9" t="n">
        <v>17</v>
      </c>
      <c r="C6" s="59" t="n">
        <v>70</v>
      </c>
      <c r="D6" s="59">
        <f>B6*C6</f>
        <v/>
      </c>
      <c r="G6" s="18" t="inlineStr">
        <is>
          <t xml:space="preserve">Company </t>
        </is>
      </c>
      <c r="H6" s="20" t="inlineStr">
        <is>
          <t>DXP Exnterprises</t>
        </is>
      </c>
      <c r="J6" s="18" t="inlineStr">
        <is>
          <t>(industrial Machinary)</t>
        </is>
      </c>
      <c r="N6" s="7" t="inlineStr">
        <is>
          <t>No</t>
        </is>
      </c>
      <c r="O6" s="18" t="inlineStr">
        <is>
          <t>Asymetric Risk - High downside, Low upside</t>
        </is>
      </c>
      <c r="P6" s="6" t="n"/>
      <c r="Q6" s="6" t="n"/>
      <c r="R6" s="6" t="n"/>
      <c r="S6" s="6" t="n"/>
      <c r="T6" s="6" t="n"/>
    </row>
    <row r="7" ht="15" customHeight="1">
      <c r="G7" s="18" t="inlineStr">
        <is>
          <t xml:space="preserve">Stock ticker </t>
        </is>
      </c>
      <c r="H7" s="71" t="inlineStr">
        <is>
          <t>DXPE</t>
        </is>
      </c>
      <c r="N7" s="7" t="inlineStr">
        <is>
          <t>No</t>
        </is>
      </c>
      <c r="O7" s="18" t="inlineStr">
        <is>
          <t>Potential for technology disruption</t>
        </is>
      </c>
      <c r="P7" s="6" t="n"/>
      <c r="Q7" s="6" t="n"/>
      <c r="R7" s="6" t="n"/>
      <c r="S7" s="6" t="n"/>
      <c r="T7" s="6" t="n"/>
    </row>
    <row r="8" ht="15" customHeight="1">
      <c r="G8" s="18" t="inlineStr">
        <is>
          <t>My Money</t>
        </is>
      </c>
      <c r="H8" s="60">
        <f>SUM(D2:D217)</f>
        <v/>
      </c>
      <c r="N8" s="7" t="inlineStr">
        <is>
          <t>No</t>
        </is>
      </c>
      <c r="O8" s="18" t="inlineStr">
        <is>
          <t>Inversion - What could kill the company ?</t>
        </is>
      </c>
      <c r="P8" s="6" t="n"/>
      <c r="Q8" s="6" t="n"/>
      <c r="R8" s="6" t="n"/>
      <c r="S8" s="6" t="n"/>
      <c r="T8" s="6" t="n"/>
    </row>
    <row r="9" ht="15" customHeight="1">
      <c r="N9" s="7" t="inlineStr">
        <is>
          <t>No</t>
        </is>
      </c>
      <c r="O9" s="18" t="inlineStr">
        <is>
          <t>High Cyclical Variation ?</t>
        </is>
      </c>
      <c r="P9" s="6" t="n"/>
      <c r="Q9" s="6" t="n"/>
      <c r="R9" s="6" t="n"/>
      <c r="S9" s="6" t="n"/>
      <c r="T9" s="6" t="n"/>
    </row>
    <row r="10" ht="15" customHeight="1">
      <c r="N10" s="7" t="inlineStr">
        <is>
          <t>Maybe</t>
        </is>
      </c>
      <c r="O10" s="18" t="inlineStr">
        <is>
          <t>Am I paying too high price ?</t>
        </is>
      </c>
      <c r="P10" s="6" t="n"/>
      <c r="Q10" s="6" t="n"/>
      <c r="R10" s="6" t="n"/>
      <c r="S10" s="6" t="n"/>
      <c r="T10" s="6" t="n"/>
    </row>
    <row r="11" ht="15" customHeight="1">
      <c r="G11" s="18" t="inlineStr">
        <is>
          <t>Current price</t>
        </is>
      </c>
      <c r="H11" s="51" t="n">
        <v>52.01</v>
      </c>
      <c r="N11" s="7" t="inlineStr">
        <is>
          <t>Yes</t>
        </is>
      </c>
      <c r="O11" s="18" t="inlineStr">
        <is>
          <t xml:space="preserve">Is there anything I don’t know ? </t>
        </is>
      </c>
      <c r="P11" s="6" t="n"/>
      <c r="Q11" s="6" t="n"/>
      <c r="R11" s="6" t="n"/>
      <c r="S11" s="6" t="inlineStr">
        <is>
          <t>How does software companies value intangible assets?</t>
        </is>
      </c>
      <c r="T11" s="6" t="n"/>
    </row>
    <row r="12" ht="15" customHeight="1">
      <c r="G12" s="18" t="inlineStr">
        <is>
          <t>My average cost per share</t>
        </is>
      </c>
      <c r="H12" s="52">
        <f>SUM(D2:D217)/K12</f>
        <v/>
      </c>
      <c r="I12" s="18" t="inlineStr">
        <is>
          <t>Num shares</t>
        </is>
      </c>
      <c r="K12" s="17">
        <f>SUM(B2:B217)</f>
        <v/>
      </c>
      <c r="N12" s="6" t="n"/>
      <c r="P12" s="6" t="n"/>
      <c r="Q12" s="6" t="n"/>
      <c r="R12" s="6" t="n"/>
      <c r="S12" s="6" t="n"/>
      <c r="T12" s="6" t="n"/>
    </row>
    <row r="13">
      <c r="G13" s="18" t="inlineStr">
        <is>
          <t>Fair value of the stock</t>
        </is>
      </c>
      <c r="H13" s="51">
        <f>((H25-H26)/H32)</f>
        <v/>
      </c>
      <c r="I13" s="18" t="inlineStr">
        <is>
          <t>Price / Book (equity)</t>
        </is>
      </c>
      <c r="K13" s="25">
        <f>H11/H13</f>
        <v/>
      </c>
      <c r="N13" s="6" t="n"/>
      <c r="P13" s="6" t="n"/>
      <c r="Q13" s="6" t="n"/>
      <c r="R13" s="6" t="n"/>
      <c r="S13" s="6" t="n"/>
      <c r="T13" s="6" t="n"/>
    </row>
    <row r="14">
      <c r="G14" s="18" t="inlineStr">
        <is>
          <t>When to buy crazy</t>
        </is>
      </c>
      <c r="H14" s="51" t="n">
        <v>35</v>
      </c>
      <c r="I14" s="18" t="inlineStr">
        <is>
          <t>up to another</t>
        </is>
      </c>
      <c r="K14" s="54" t="n">
        <v>5000</v>
      </c>
      <c r="N14" s="6" t="n"/>
      <c r="P14" s="6" t="n"/>
      <c r="Q14" s="6" t="n"/>
      <c r="R14" s="6" t="n"/>
      <c r="S14" s="6" t="n"/>
      <c r="T14" s="6" t="n"/>
    </row>
    <row r="15" ht="15" customHeight="1">
      <c r="G15" s="18" t="inlineStr">
        <is>
          <t>FCF per share</t>
        </is>
      </c>
      <c r="H15" s="52">
        <f>H34/H32</f>
        <v/>
      </c>
      <c r="K15" s="54" t="n"/>
      <c r="N15" s="6" t="n"/>
      <c r="P15" s="6" t="n"/>
      <c r="Q15" s="6" t="n"/>
      <c r="R15" s="6" t="n"/>
      <c r="S15" s="6" t="n"/>
      <c r="T15" s="6" t="n"/>
    </row>
    <row r="16">
      <c r="N16" s="6" t="n"/>
      <c r="P16" s="6" t="n"/>
      <c r="Q16" s="6" t="n"/>
      <c r="R16" s="6" t="n"/>
      <c r="S16" s="6" t="n"/>
      <c r="T16" s="6" t="n"/>
    </row>
    <row r="17">
      <c r="H17" s="20" t="inlineStr">
        <is>
          <t>TTM</t>
        </is>
      </c>
      <c r="I17" s="18" t="inlineStr">
        <is>
          <t>QTR</t>
        </is>
      </c>
      <c r="N17" s="6" t="n"/>
      <c r="P17" s="6" t="n"/>
      <c r="Q17" s="6" t="n"/>
      <c r="R17" s="6" t="n"/>
      <c r="S17" s="6" t="n"/>
      <c r="T17" s="6" t="n"/>
    </row>
    <row r="18">
      <c r="G18" s="18" t="inlineStr">
        <is>
          <t xml:space="preserve">Revenue </t>
        </is>
      </c>
      <c r="H18" s="73" t="n">
        <v>445</v>
      </c>
      <c r="I18" s="61" t="n"/>
      <c r="J18" s="18" t="inlineStr">
        <is>
          <t>B</t>
        </is>
      </c>
      <c r="N18" s="6" t="n"/>
      <c r="P18" s="6" t="n"/>
      <c r="Q18" s="6" t="n"/>
      <c r="R18" s="6" t="n"/>
      <c r="S18" s="6" t="n"/>
      <c r="T18" s="6" t="n"/>
    </row>
    <row r="19" ht="15" customHeight="1">
      <c r="G19" s="18" t="inlineStr">
        <is>
          <t>Expenses</t>
        </is>
      </c>
      <c r="H19" s="62" t="n">
        <v>100</v>
      </c>
      <c r="I19" s="61" t="n"/>
      <c r="J19" s="18" t="inlineStr">
        <is>
          <t>B</t>
        </is>
      </c>
      <c r="N19" s="28" t="inlineStr">
        <is>
          <t>CHECKLIST - Why should I buy ?</t>
        </is>
      </c>
      <c r="P19" s="6" t="n"/>
      <c r="Q19" s="6" t="n"/>
      <c r="R19" s="6" t="n"/>
      <c r="S19" s="6" t="n"/>
      <c r="T19" s="6" t="n"/>
    </row>
    <row r="20" ht="15" customHeight="1">
      <c r="G20" s="18" t="inlineStr">
        <is>
          <t xml:space="preserve">Net Inome </t>
        </is>
      </c>
      <c r="H20" s="62" t="n">
        <v>16</v>
      </c>
      <c r="I20" s="61" t="n"/>
      <c r="J20" s="18" t="inlineStr">
        <is>
          <t>B</t>
        </is>
      </c>
      <c r="N20" s="7" t="inlineStr">
        <is>
          <t>No</t>
        </is>
      </c>
      <c r="O20" s="18" t="inlineStr">
        <is>
          <t>Fair Price today</t>
        </is>
      </c>
      <c r="P20" s="6" t="n"/>
      <c r="Q20" s="59">
        <f>H11</f>
        <v/>
      </c>
      <c r="R20" s="6" t="n"/>
      <c r="S20" s="6" t="n"/>
      <c r="T20" s="6" t="n"/>
    </row>
    <row r="21" ht="15" customHeight="1">
      <c r="G21" s="18" t="inlineStr">
        <is>
          <t>Net Margin</t>
        </is>
      </c>
      <c r="H21" s="56">
        <f>H20/H18</f>
        <v/>
      </c>
      <c r="I21" s="63" t="n"/>
      <c r="J21" s="26" t="inlineStr">
        <is>
          <t xml:space="preserve">Net income / Revenue </t>
        </is>
      </c>
      <c r="N21" s="7" t="inlineStr">
        <is>
          <t>Yes</t>
        </is>
      </c>
      <c r="O21" s="18" t="inlineStr">
        <is>
          <t>Quality of Management, Culture, Long Tenure</t>
        </is>
      </c>
      <c r="P21" s="6" t="n"/>
      <c r="Q21" s="6" t="n"/>
      <c r="R21" s="6" t="n"/>
      <c r="S21" s="6" t="n"/>
      <c r="T21" s="6" t="inlineStr">
        <is>
          <t>https://simplywall.st/stocks/us/capital-goods/nasdaq-dxpe/dxp-enterprises/management</t>
        </is>
      </c>
    </row>
    <row r="22" ht="15" customHeight="1">
      <c r="G22" s="21" t="inlineStr">
        <is>
          <t>EPS</t>
        </is>
      </c>
      <c r="H22" s="24">
        <f>H20/H$32</f>
        <v/>
      </c>
      <c r="I22" s="27" t="n"/>
      <c r="N22" s="7" t="inlineStr">
        <is>
          <t>Yes</t>
        </is>
      </c>
      <c r="O22" s="18" t="inlineStr">
        <is>
          <t>Moat, Premium Brand, pricing power, hard to eat by competitors</t>
        </is>
      </c>
      <c r="P22" s="6" t="n"/>
      <c r="Q22" s="6" t="n"/>
      <c r="R22" s="6" t="n"/>
      <c r="S22" s="6" t="n"/>
      <c r="T22" s="6" t="n"/>
    </row>
    <row r="23" ht="15" customHeight="1">
      <c r="G23" s="18" t="inlineStr">
        <is>
          <t>PE ratio</t>
        </is>
      </c>
      <c r="H23" s="22">
        <f>H11/H22</f>
        <v/>
      </c>
      <c r="I23" s="22" t="n">
        <v>14.41</v>
      </c>
      <c r="J23" s="26" t="n"/>
      <c r="K23" s="25" t="n"/>
      <c r="N23" s="7" t="n"/>
      <c r="P23" s="6" t="n"/>
      <c r="Q23" s="6" t="n"/>
      <c r="R23" s="6" t="n"/>
      <c r="S23" s="6" t="n"/>
      <c r="T23" s="6" t="n"/>
    </row>
    <row r="24" ht="15" customHeight="1">
      <c r="H24" s="18" t="n"/>
      <c r="N24" s="7" t="inlineStr">
        <is>
          <t>Yes</t>
        </is>
      </c>
      <c r="O24" s="18" t="inlineStr">
        <is>
          <t>Low Debt</t>
        </is>
      </c>
      <c r="P24" s="6" t="n"/>
      <c r="Q24" s="6" t="n"/>
      <c r="R24" s="6" t="n"/>
      <c r="S24" s="6" t="n"/>
      <c r="T24" s="6" t="n"/>
    </row>
    <row r="25" ht="15" customHeight="1">
      <c r="G25" s="18" t="inlineStr">
        <is>
          <t>Assets</t>
        </is>
      </c>
      <c r="H25" s="24" t="n">
        <v>1.184</v>
      </c>
      <c r="I25" s="18" t="inlineStr">
        <is>
          <t>B</t>
        </is>
      </c>
      <c r="N25" s="7" t="inlineStr">
        <is>
          <t>Maybe</t>
        </is>
      </c>
      <c r="O25" s="18" t="inlineStr">
        <is>
          <t>Asymetric potential - Low downside, High upside</t>
        </is>
      </c>
      <c r="P25" s="6" t="n"/>
      <c r="Q25" s="6" t="n"/>
      <c r="R25" s="6" t="n"/>
      <c r="S25" s="6" t="n"/>
      <c r="T25" s="6" t="n"/>
    </row>
    <row r="26" ht="15" customHeight="1">
      <c r="G26" s="18" t="inlineStr">
        <is>
          <t>Liabilities</t>
        </is>
      </c>
      <c r="H26" s="24" t="n">
        <v>0.8080000000000001</v>
      </c>
      <c r="I26" s="18" t="inlineStr">
        <is>
          <t>B</t>
        </is>
      </c>
      <c r="N26" s="7" t="inlineStr">
        <is>
          <t>Maybe</t>
        </is>
      </c>
      <c r="O26" s="18" t="inlineStr">
        <is>
          <t>Growth Potential - scale 10x in 10yrs</t>
        </is>
      </c>
      <c r="P26" s="6" t="n"/>
      <c r="Q26" s="6" t="n"/>
      <c r="R26" s="6" t="n"/>
      <c r="S26" s="6" t="n"/>
      <c r="T26" s="6" t="n"/>
    </row>
    <row r="27" ht="15" customHeight="1">
      <c r="G27" s="18" t="inlineStr">
        <is>
          <t>Equity</t>
        </is>
      </c>
      <c r="H27" s="24">
        <f>H25-H26</f>
        <v/>
      </c>
      <c r="I27" s="18" t="inlineStr">
        <is>
          <t>B</t>
        </is>
      </c>
      <c r="N27" s="7" t="inlineStr">
        <is>
          <t>Yes</t>
        </is>
      </c>
      <c r="O27" s="18" t="inlineStr">
        <is>
          <t>Benefit from long term secular (non-cyclical) trends</t>
        </is>
      </c>
      <c r="P27" s="6" t="n"/>
      <c r="Q27" s="6" t="n"/>
      <c r="R27" s="6" t="n"/>
      <c r="S27" s="6" t="n"/>
      <c r="T27" s="6" t="n"/>
    </row>
    <row r="28" ht="15" customHeight="1">
      <c r="G28" s="18" t="inlineStr">
        <is>
          <t>Current ratio</t>
        </is>
      </c>
      <c r="H28" s="23">
        <f>H25/H26</f>
        <v/>
      </c>
      <c r="I28" s="18" t="inlineStr">
        <is>
          <t>assets/liabilities</t>
        </is>
      </c>
      <c r="N28" s="7" t="inlineStr">
        <is>
          <t>Yes</t>
        </is>
      </c>
      <c r="O28" s="18" t="inlineStr">
        <is>
          <t>Can it withstand a big recession ?</t>
        </is>
      </c>
      <c r="P28" s="6" t="n"/>
      <c r="Q28" s="6" t="n"/>
      <c r="R28" s="6" t="n"/>
      <c r="S28" s="6" t="n"/>
      <c r="T28" s="6" t="n"/>
    </row>
    <row r="29">
      <c r="G29" s="18" t="inlineStr">
        <is>
          <t>Debt to equity ratio</t>
        </is>
      </c>
      <c r="H29" s="10">
        <f>H26/H27</f>
        <v/>
      </c>
      <c r="I29" s="18" t="inlineStr">
        <is>
          <t>Liabilities / Equity</t>
        </is>
      </c>
      <c r="N29" s="6" t="n"/>
      <c r="P29" s="6" t="n"/>
      <c r="Q29" s="6" t="n"/>
      <c r="R29" s="6" t="n"/>
      <c r="S29" s="6" t="n"/>
      <c r="T29" s="6" t="n"/>
    </row>
    <row r="31">
      <c r="G31" s="18" t="inlineStr">
        <is>
          <t>Market cap</t>
        </is>
      </c>
      <c r="H31" s="64" t="n">
        <v>0.82843</v>
      </c>
      <c r="I31" s="18" t="inlineStr">
        <is>
          <t>B</t>
        </is>
      </c>
    </row>
    <row r="32">
      <c r="G32" s="18" t="inlineStr">
        <is>
          <t>Num shares</t>
        </is>
      </c>
      <c r="H32" s="62" t="inlineStr">
        <is>
          <t>17</t>
        </is>
      </c>
      <c r="I32" s="18" t="inlineStr">
        <is>
          <t>B</t>
        </is>
      </c>
    </row>
    <row r="33">
      <c r="G33" s="18" t="inlineStr">
        <is>
          <t xml:space="preserve">Dividend </t>
        </is>
      </c>
      <c r="H33" s="56" t="n">
        <v>0</v>
      </c>
      <c r="O33" s="76" t="n"/>
    </row>
    <row r="34">
      <c r="G34" s="18" t="inlineStr">
        <is>
          <t>Free cash Flow</t>
        </is>
      </c>
      <c r="H34" s="20" t="n">
        <v>0.09396</v>
      </c>
      <c r="I34" s="18" t="inlineStr">
        <is>
          <t>B</t>
        </is>
      </c>
    </row>
    <row r="35" ht="15" customHeight="1">
      <c r="G35" s="18" t="inlineStr">
        <is>
          <t>SGA</t>
        </is>
      </c>
      <c r="H35" t="n">
        <v>100</v>
      </c>
    </row>
    <row r="36">
      <c r="G36" s="36" t="inlineStr">
        <is>
          <t>(some of these cells have formulas)</t>
        </is>
      </c>
      <c r="H36" s="18" t="n"/>
    </row>
    <row r="37">
      <c r="G37" s="36" t="inlineStr">
        <is>
          <t>(but we can also get the values from website )</t>
        </is>
      </c>
    </row>
    <row r="39">
      <c r="G39" s="43" t="inlineStr">
        <is>
          <t>We can consider this source also - it has APIs and no need to scarpe from html</t>
        </is>
      </c>
    </row>
    <row r="40">
      <c r="G40" s="43" t="inlineStr">
        <is>
          <t>https://site.financialmodelingprep.com/developer/docs#balance-statements-as-reported-financial-statements</t>
        </is>
      </c>
    </row>
    <row r="41">
      <c r="G41" s="43" t="inlineStr">
        <is>
          <t>but its is up to you, if you think getting from macrotrends is easy, that is ok</t>
        </is>
      </c>
    </row>
    <row r="43">
      <c r="G43" s="18" t="inlineStr">
        <is>
          <t>TTM  = Trailing 12 months</t>
        </is>
      </c>
    </row>
    <row r="45">
      <c r="G45" s="3" t="inlineStr">
        <is>
          <t>Other things to add:</t>
        </is>
      </c>
      <c r="H45" s="4" t="n"/>
      <c r="I45" s="3" t="n"/>
      <c r="J45" s="3" t="n"/>
      <c r="K45" s="3" t="n"/>
      <c r="L45" s="3" t="n"/>
      <c r="M45" s="5" t="n"/>
      <c r="N45" s="3" t="n"/>
      <c r="P45" s="3" t="n"/>
      <c r="Q45" s="3" t="n"/>
    </row>
    <row r="46">
      <c r="G46" s="3" t="n"/>
      <c r="H46" s="4" t="n"/>
      <c r="I46" s="3" t="n"/>
      <c r="J46" s="3" t="n"/>
      <c r="K46" s="3" t="n"/>
      <c r="L46" s="3" t="n"/>
      <c r="M46" s="5" t="n"/>
      <c r="N46" s="3" t="n"/>
      <c r="P46" s="3" t="n"/>
      <c r="Q46" s="3" t="n"/>
    </row>
    <row r="47" ht="15" customHeight="1">
      <c r="G47" t="inlineStr">
        <is>
          <t>Dividend</t>
        </is>
      </c>
      <c r="H47" s="4" t="n"/>
      <c r="I47" s="3" t="n"/>
      <c r="J47" s="3" t="n"/>
      <c r="K47" s="3" t="n"/>
      <c r="L47" s="3" t="n"/>
      <c r="M47" s="5" t="n"/>
      <c r="N47" s="3" t="n"/>
      <c r="P47" s="3" t="n"/>
      <c r="Q47" s="3" t="n"/>
    </row>
    <row r="48" ht="15" customHeight="1">
      <c r="G48" t="inlineStr">
        <is>
          <t>cash</t>
        </is>
      </c>
      <c r="H48" s="4" t="n"/>
      <c r="I48" s="3" t="n"/>
      <c r="J48" s="3" t="n"/>
      <c r="K48" s="3" t="n"/>
      <c r="L48" s="3" t="n"/>
      <c r="M48" s="5" t="n"/>
      <c r="N48" s="3" t="n"/>
      <c r="P48" s="3" t="n"/>
      <c r="Q48" s="3" t="n"/>
    </row>
    <row r="49" ht="15" customHeight="1">
      <c r="G49" t="inlineStr">
        <is>
          <t>short term DEBT</t>
        </is>
      </c>
      <c r="H49" s="4" t="n"/>
      <c r="I49" s="3" t="n"/>
      <c r="J49" s="3" t="n"/>
      <c r="K49" s="3" t="n"/>
      <c r="L49" s="3" t="n"/>
      <c r="M49" s="5" t="n"/>
      <c r="N49" s="3" t="n"/>
      <c r="P49" s="3" t="n"/>
      <c r="Q49" s="3" t="n"/>
    </row>
    <row r="50" ht="15" customHeight="1">
      <c r="G50" t="inlineStr">
        <is>
          <t>Long term debt</t>
        </is>
      </c>
      <c r="H50" s="4" t="n"/>
      <c r="I50" s="3" t="n"/>
      <c r="J50" s="3" t="n"/>
      <c r="K50" s="3" t="n"/>
      <c r="L50" s="3" t="n"/>
      <c r="M50" s="5" t="n"/>
      <c r="N50" s="3" t="n"/>
      <c r="P50" s="3" t="n"/>
      <c r="Q50" s="3" t="n"/>
    </row>
    <row r="51" ht="15" customHeight="1">
      <c r="G51" t="inlineStr">
        <is>
          <t>debt to equity ratio</t>
        </is>
      </c>
      <c r="H51" s="4" t="n"/>
      <c r="I51" s="3" t="n"/>
      <c r="J51" s="3" t="n"/>
      <c r="K51" s="3" t="n"/>
      <c r="L51" s="3" t="n"/>
      <c r="M51" s="5" t="n"/>
      <c r="N51" s="3" t="n"/>
      <c r="P51" s="3" t="n"/>
      <c r="Q51" s="3" t="n"/>
    </row>
    <row r="52" ht="15" customHeight="1">
      <c r="G52" t="inlineStr">
        <is>
          <t>IRR</t>
        </is>
      </c>
      <c r="H52" s="4" t="n"/>
      <c r="I52" s="3" t="n"/>
      <c r="J52" s="3" t="n"/>
      <c r="K52" s="3" t="n"/>
      <c r="L52" s="3" t="n"/>
      <c r="M52" s="5" t="n"/>
      <c r="N52" s="3" t="n"/>
      <c r="P52" s="3" t="n"/>
      <c r="Q52" s="3" t="n"/>
    </row>
    <row r="53" ht="15" customHeight="1">
      <c r="G53" t="inlineStr">
        <is>
          <t>ROIC</t>
        </is>
      </c>
      <c r="H53" s="4" t="n"/>
      <c r="I53" s="3" t="n"/>
      <c r="J53" s="3" t="n"/>
      <c r="K53" s="3" t="n"/>
      <c r="L53" s="3" t="n"/>
      <c r="M53" s="5" t="n"/>
      <c r="N53" s="3" t="n"/>
      <c r="P53" s="3" t="n"/>
      <c r="Q53" s="3" t="n"/>
    </row>
    <row r="54">
      <c r="G54" s="3" t="inlineStr">
        <is>
          <t>Gross margin (gross profit before taxes etc/ revenue)</t>
        </is>
      </c>
      <c r="H54" s="4" t="n"/>
      <c r="I54" s="3" t="n"/>
      <c r="J54" s="3" t="n"/>
      <c r="K54" s="3" t="n"/>
      <c r="L54" s="3" t="n"/>
      <c r="M54" s="5" t="n"/>
      <c r="N54" s="3" t="n"/>
      <c r="P54" s="3" t="n"/>
      <c r="Q54" s="3" t="n"/>
    </row>
    <row r="55">
      <c r="G55" s="3" t="inlineStr">
        <is>
          <t>S G &amp; A margin (SG&amp;A/gross profit)</t>
        </is>
      </c>
      <c r="H55" s="4" t="n"/>
      <c r="I55" s="3" t="n"/>
      <c r="J55" s="3" t="n"/>
      <c r="K55" s="3" t="n"/>
      <c r="L55" s="3" t="n"/>
      <c r="M55" s="5" t="n"/>
      <c r="N55" s="3" t="n"/>
      <c r="P55" s="3" t="n"/>
      <c r="Q55" s="3" t="n"/>
    </row>
    <row r="56">
      <c r="G56" s="3" t="n"/>
      <c r="H56" s="4" t="n"/>
      <c r="I56" s="3" t="n"/>
      <c r="J56" s="3" t="n"/>
      <c r="K56" s="3" t="n"/>
      <c r="L56" s="3" t="n"/>
      <c r="M56" s="5" t="n"/>
      <c r="N56" s="3" t="n"/>
      <c r="P56" s="3" t="n"/>
      <c r="Q56" s="3" t="n"/>
    </row>
    <row r="57">
      <c r="G57" s="3" t="n"/>
      <c r="H57" s="4" t="n"/>
      <c r="I57" s="3" t="n"/>
      <c r="J57" s="3" t="n"/>
      <c r="K57" s="3" t="n"/>
      <c r="L57" s="3" t="n"/>
      <c r="M57" s="5" t="n"/>
      <c r="N57" s="3" t="n"/>
      <c r="P57" s="3" t="n"/>
      <c r="Q57" s="3" t="n"/>
    </row>
    <row r="58">
      <c r="G58" s="3" t="n"/>
      <c r="H58" s="4" t="n"/>
      <c r="I58" s="3" t="n"/>
      <c r="J58" s="3" t="n"/>
      <c r="K58" s="3" t="n"/>
      <c r="L58" s="3" t="n"/>
      <c r="M58" s="5" t="n"/>
      <c r="N58" s="3" t="n"/>
      <c r="P58" s="3" t="n"/>
      <c r="Q58" s="3" t="n"/>
    </row>
    <row r="59">
      <c r="G59" s="3" t="n"/>
      <c r="H59" s="4" t="n"/>
      <c r="I59" s="3" t="n"/>
      <c r="J59" s="3" t="n"/>
      <c r="K59" s="3" t="n"/>
      <c r="L59" s="3" t="n"/>
      <c r="M59" s="5" t="n"/>
      <c r="N59" s="3" t="n"/>
      <c r="P59" s="3" t="n"/>
      <c r="Q59" s="3" t="n"/>
    </row>
    <row r="60">
      <c r="G60" s="3" t="n"/>
      <c r="H60" s="4" t="n"/>
      <c r="I60" s="3" t="n"/>
      <c r="J60" s="3" t="n"/>
      <c r="K60" s="3" t="n"/>
      <c r="L60" s="3" t="n"/>
      <c r="M60" s="5" t="n"/>
      <c r="N60" s="3" t="n"/>
      <c r="P60" s="3" t="n"/>
      <c r="Q60" s="3" t="n"/>
    </row>
    <row r="61">
      <c r="G61" s="3" t="n"/>
      <c r="H61" s="4" t="n"/>
      <c r="I61" s="3" t="n"/>
      <c r="J61" s="3" t="n"/>
      <c r="K61" s="3" t="n"/>
      <c r="L61" s="3" t="n"/>
      <c r="M61" s="5" t="n"/>
      <c r="N61" s="3" t="n"/>
      <c r="P61" s="3" t="n"/>
      <c r="Q61" s="3" t="n"/>
    </row>
    <row r="62">
      <c r="G62" s="3" t="n"/>
      <c r="H62" s="4" t="n"/>
      <c r="J62" s="3" t="n"/>
      <c r="K62" s="3" t="n"/>
      <c r="L62" s="3" t="n"/>
      <c r="M62" s="5" t="n"/>
      <c r="N62" s="3" t="n"/>
      <c r="P62" s="3" t="n"/>
      <c r="Q62" s="3" t="n"/>
    </row>
    <row r="63">
      <c r="G63" s="3" t="n"/>
      <c r="H63" s="4" t="n"/>
      <c r="J63" s="3" t="n"/>
      <c r="K63" s="3" t="n"/>
      <c r="L63" s="3" t="n"/>
      <c r="M63" s="5" t="n"/>
      <c r="N63" s="3" t="n"/>
      <c r="P63" s="3" t="n"/>
      <c r="Q63" s="3" t="n"/>
    </row>
    <row r="64">
      <c r="G64" s="3" t="n"/>
      <c r="H64" s="4" t="n"/>
      <c r="J64" s="3" t="n"/>
      <c r="K64" s="3" t="n"/>
      <c r="L64" s="3" t="n"/>
      <c r="M64" s="5" t="n"/>
      <c r="N64" s="3" t="n"/>
      <c r="P64" s="3" t="n"/>
      <c r="Q64" s="3" t="n"/>
    </row>
    <row r="65">
      <c r="G65" s="3" t="n"/>
      <c r="H65" s="4" t="n"/>
      <c r="J65" s="3" t="n"/>
      <c r="K65" s="3" t="n"/>
      <c r="L65" s="3" t="n"/>
      <c r="M65" s="5" t="n"/>
      <c r="N65" s="3" t="n"/>
      <c r="P65" s="3" t="n"/>
      <c r="Q65" s="3" t="n"/>
    </row>
    <row r="66">
      <c r="G66" s="3" t="n"/>
      <c r="H66" s="4" t="n"/>
      <c r="J66" s="3" t="n"/>
      <c r="K66" s="3" t="n"/>
      <c r="L66" s="3" t="n"/>
      <c r="M66" s="5" t="n"/>
      <c r="N66" s="3" t="n"/>
      <c r="P66" s="3" t="n"/>
      <c r="Q66" s="3" t="n"/>
    </row>
    <row r="67">
      <c r="G67" s="3" t="n"/>
      <c r="H67" s="4" t="n"/>
      <c r="J67" s="3" t="n"/>
      <c r="K67" s="3" t="n"/>
      <c r="L67" s="3" t="n"/>
      <c r="M67" s="5" t="n"/>
      <c r="N67" s="3" t="n"/>
      <c r="P67" s="3" t="n"/>
      <c r="Q67" s="3" t="n"/>
    </row>
    <row r="68">
      <c r="G68" s="3" t="n"/>
      <c r="H68" s="4" t="n"/>
      <c r="J68" s="3" t="n"/>
      <c r="K68" s="3" t="n"/>
      <c r="L68" s="3" t="n"/>
      <c r="M68" s="5" t="n"/>
      <c r="N68" s="3" t="n"/>
      <c r="P68" s="3" t="n"/>
      <c r="Q68" s="3" t="n"/>
    </row>
    <row r="69">
      <c r="G69" s="3" t="n"/>
      <c r="H69" s="4" t="n"/>
      <c r="J69" s="3" t="n"/>
      <c r="K69" s="3" t="n"/>
      <c r="L69" s="3" t="n"/>
      <c r="M69" s="5" t="n"/>
      <c r="N69" s="3" t="n"/>
      <c r="P69" s="3" t="n"/>
      <c r="Q69" s="3" t="n"/>
    </row>
    <row r="70">
      <c r="G70" s="3" t="n"/>
      <c r="H70" s="4" t="n"/>
      <c r="J70" s="3" t="n"/>
      <c r="K70" s="3" t="n"/>
      <c r="L70" s="3" t="n"/>
      <c r="M70" s="5" t="n"/>
      <c r="N70" s="3" t="n"/>
      <c r="P70" s="3" t="n"/>
      <c r="Q70" s="3" t="n"/>
    </row>
    <row r="71">
      <c r="G71" s="3" t="n"/>
      <c r="H71" s="4" t="n"/>
      <c r="J71" s="3" t="n"/>
      <c r="K71" s="3" t="n"/>
      <c r="L71" s="3" t="n"/>
      <c r="M71" s="5" t="n"/>
      <c r="N71" s="3" t="n"/>
      <c r="P71" s="3" t="n"/>
      <c r="Q71" s="3" t="n"/>
    </row>
    <row r="72">
      <c r="G72" s="3" t="n"/>
      <c r="H72" s="4" t="n"/>
      <c r="J72" s="3" t="n"/>
      <c r="K72" s="3" t="n"/>
      <c r="L72" s="3" t="n"/>
      <c r="M72" s="5" t="n"/>
      <c r="N72" s="3" t="n"/>
      <c r="P72" s="3" t="n"/>
      <c r="Q72" s="3" t="n"/>
    </row>
    <row r="73">
      <c r="G73" s="3" t="n"/>
      <c r="H73" s="4" t="n"/>
      <c r="J73" s="3" t="n"/>
      <c r="K73" s="3" t="n"/>
      <c r="L73" s="3" t="n"/>
      <c r="M73" s="5" t="n"/>
      <c r="N73" s="3" t="n"/>
      <c r="P73" s="3" t="n"/>
      <c r="Q73" s="3" t="n"/>
    </row>
    <row r="74">
      <c r="G74" s="3" t="n"/>
      <c r="H74" s="4" t="n"/>
      <c r="J74" s="3" t="n"/>
      <c r="K74" s="3" t="n"/>
      <c r="L74" s="3" t="n"/>
      <c r="M74" s="5" t="n"/>
      <c r="N74" s="3" t="n"/>
      <c r="P74" s="3" t="n"/>
      <c r="Q74" s="3" t="n"/>
    </row>
    <row r="75">
      <c r="G75" s="3" t="n"/>
      <c r="H75" s="4" t="n"/>
      <c r="J75" s="3" t="n"/>
      <c r="K75" s="3" t="n"/>
      <c r="L75" s="3" t="n"/>
      <c r="M75" s="5" t="n"/>
      <c r="N75" s="3" t="n"/>
      <c r="P75" s="3" t="n"/>
      <c r="Q75" s="3" t="n"/>
    </row>
    <row r="76">
      <c r="G76" s="3" t="n"/>
      <c r="H76" s="4" t="n"/>
      <c r="J76" s="3" t="n"/>
      <c r="K76" s="3" t="n"/>
      <c r="L76" s="3" t="n"/>
      <c r="M76" s="5" t="n"/>
      <c r="N76" s="3" t="n"/>
      <c r="P76" s="3" t="n"/>
      <c r="Q76" s="3" t="n"/>
    </row>
    <row r="77">
      <c r="G77" s="3" t="n"/>
      <c r="H77" s="4" t="n"/>
      <c r="J77" s="3" t="n"/>
      <c r="K77" s="3" t="n"/>
      <c r="L77" s="3" t="n"/>
      <c r="M77" s="5" t="n"/>
      <c r="N77" s="3" t="n"/>
      <c r="P77" s="3" t="n"/>
      <c r="Q77" s="3" t="n"/>
    </row>
    <row r="78">
      <c r="G78" s="3" t="n"/>
      <c r="H78" s="4" t="n"/>
      <c r="J78" s="3" t="n"/>
      <c r="K78" s="3" t="n"/>
      <c r="L78" s="3" t="n"/>
      <c r="M78" s="5" t="n"/>
      <c r="N78" s="3" t="n"/>
      <c r="P78" s="3" t="n"/>
      <c r="Q78" s="3" t="n"/>
    </row>
    <row r="79">
      <c r="G79" s="3" t="n"/>
      <c r="H79" s="4" t="n"/>
      <c r="J79" s="3" t="n"/>
      <c r="K79" s="3" t="n"/>
      <c r="L79" s="3" t="n"/>
      <c r="M79" s="5" t="n"/>
      <c r="N79" s="3" t="n"/>
      <c r="P79" s="3" t="n"/>
      <c r="Q79" s="3" t="n"/>
    </row>
    <row r="80">
      <c r="G80" s="3" t="n"/>
      <c r="H80" s="4" t="n"/>
      <c r="J80" s="3" t="n"/>
      <c r="K80" s="3" t="n"/>
      <c r="L80" s="3" t="n"/>
      <c r="M80" s="5" t="n"/>
      <c r="N80" s="3" t="n"/>
      <c r="P80" s="3" t="n"/>
      <c r="Q80" s="3" t="n"/>
    </row>
    <row r="81">
      <c r="G81" s="3" t="n"/>
      <c r="H81" s="4" t="n"/>
      <c r="J81" s="3" t="n"/>
      <c r="K81" s="3" t="n"/>
      <c r="L81" s="3" t="n"/>
      <c r="M81" s="5" t="n"/>
      <c r="N81" s="3" t="n"/>
      <c r="P81" s="3" t="n"/>
      <c r="Q81" s="3" t="n"/>
    </row>
    <row r="82" ht="15" customHeight="1">
      <c r="H82" s="4" t="n"/>
      <c r="J82" s="3" t="n"/>
      <c r="K82" s="3" t="n"/>
      <c r="L82" s="3" t="n"/>
      <c r="M82" s="5" t="n"/>
      <c r="N82" s="3" t="n"/>
      <c r="P82" s="3" t="n"/>
      <c r="Q82" s="3" t="n"/>
    </row>
    <row r="83">
      <c r="G83" s="4" t="n"/>
      <c r="H83" s="4" t="n"/>
      <c r="J83" s="3" t="n"/>
      <c r="K83" s="3" t="n"/>
      <c r="L83" s="3" t="n"/>
      <c r="M83" s="5" t="n"/>
      <c r="N83" s="3" t="n"/>
      <c r="P83" s="3" t="n"/>
      <c r="Q83" s="3" t="n"/>
    </row>
    <row r="84">
      <c r="G84" s="4" t="n"/>
      <c r="H84" s="4" t="n"/>
      <c r="J84" s="3" t="n"/>
      <c r="K84" s="3" t="n"/>
      <c r="L84" s="3" t="n"/>
      <c r="M84" s="5" t="n"/>
      <c r="N84" s="3" t="n"/>
      <c r="P84" s="3" t="n"/>
      <c r="Q84" s="3" t="n"/>
    </row>
    <row r="85">
      <c r="G85" s="4" t="n"/>
      <c r="H85" s="4" t="n"/>
      <c r="J85" s="3" t="n"/>
      <c r="K85" s="3" t="n"/>
      <c r="L85" s="3" t="n"/>
      <c r="M85" s="5" t="n"/>
      <c r="N85" s="3" t="n"/>
      <c r="P85" s="3" t="n"/>
      <c r="Q85" s="3" t="n"/>
    </row>
    <row r="86">
      <c r="G86" s="4" t="n"/>
      <c r="H86" s="4" t="n"/>
      <c r="J86" s="3" t="n"/>
      <c r="K86" s="3" t="n"/>
      <c r="L86" s="3" t="n"/>
      <c r="M86" s="5" t="n"/>
      <c r="N86" s="3" t="n"/>
      <c r="P86" s="3" t="n"/>
      <c r="Q86" s="3" t="n"/>
    </row>
  </sheetData>
  <conditionalFormatting sqref="N6:N11">
    <cfRule type="cellIs" priority="1" operator="equal" dxfId="5">
      <formula>"Maybe"</formula>
    </cfRule>
    <cfRule type="cellIs" priority="5" operator="equal" dxfId="1">
      <formula>"No"</formula>
    </cfRule>
    <cfRule type="cellIs" priority="6" operator="equal" dxfId="0">
      <formula>"Yes"</formula>
    </cfRule>
  </conditionalFormatting>
  <conditionalFormatting sqref="N20:N28">
    <cfRule type="cellIs" priority="2" operator="equal" dxfId="2">
      <formula>"Maybe"</formula>
    </cfRule>
    <cfRule type="cellIs" priority="3" operator="equal" dxfId="1">
      <formula>"Yes"</formula>
    </cfRule>
    <cfRule type="cellIs" priority="4" operator="equal" dxfId="0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A1:O35"/>
  <sheetViews>
    <sheetView tabSelected="1" workbookViewId="0">
      <selection activeCell="G4" sqref="G4"/>
    </sheetView>
  </sheetViews>
  <sheetFormatPr baseColWidth="10" defaultColWidth="9.140625" defaultRowHeight="15"/>
  <sheetData>
    <row r="1">
      <c r="A1" s="66" t="inlineStr">
        <is>
          <t>Date</t>
        </is>
      </c>
      <c r="B1" s="66" t="inlineStr">
        <is>
          <t>Qty</t>
        </is>
      </c>
      <c r="C1" s="66" t="inlineStr">
        <is>
          <t>Cost per share</t>
        </is>
      </c>
      <c r="D1" s="66" t="inlineStr">
        <is>
          <t>Total Cost</t>
        </is>
      </c>
    </row>
    <row r="5">
      <c r="G5" t="inlineStr">
        <is>
          <t>Last Reviewed</t>
        </is>
      </c>
      <c r="H5" s="74" t="inlineStr">
        <is>
          <t>2024/06/30</t>
        </is>
      </c>
      <c r="N5" s="66" t="inlineStr">
        <is>
          <t>CHECKLIST - Why should I NOT buy ?</t>
        </is>
      </c>
    </row>
    <row r="6">
      <c r="G6" t="inlineStr">
        <is>
          <t>Company</t>
        </is>
      </c>
      <c r="O6" s="67" t="inlineStr">
        <is>
          <t>Asymetric Risk - High downside, Low upside</t>
        </is>
      </c>
    </row>
    <row r="7">
      <c r="G7" t="inlineStr">
        <is>
          <t>Stock ticker</t>
        </is>
      </c>
      <c r="H7" s="74" t="inlineStr">
        <is>
          <t>IBM</t>
        </is>
      </c>
      <c r="O7" s="67" t="inlineStr">
        <is>
          <t>Potential for technology disruption</t>
        </is>
      </c>
    </row>
    <row r="8">
      <c r="G8" t="inlineStr">
        <is>
          <t>My Money</t>
        </is>
      </c>
      <c r="O8" s="67" t="inlineStr">
        <is>
          <t>Inversion - What could kill the company ?</t>
        </is>
      </c>
    </row>
    <row r="9">
      <c r="O9" s="67" t="inlineStr">
        <is>
          <t>High Cyclical Variation ?</t>
        </is>
      </c>
    </row>
    <row r="10">
      <c r="O10" s="67" t="inlineStr">
        <is>
          <t>Am I paying too high price ?</t>
        </is>
      </c>
    </row>
    <row r="11">
      <c r="G11" t="inlineStr">
        <is>
          <t>Current price</t>
        </is>
      </c>
      <c r="O11" s="67" t="inlineStr">
        <is>
          <t>Is there anything I don’t know ?</t>
        </is>
      </c>
    </row>
    <row r="12">
      <c r="G12" t="inlineStr">
        <is>
          <t>My average cost per share</t>
        </is>
      </c>
    </row>
    <row r="13">
      <c r="G13" t="inlineStr">
        <is>
          <t>Fair value of the stock</t>
        </is>
      </c>
    </row>
    <row r="14">
      <c r="G14" t="inlineStr">
        <is>
          <t>When to buy crazy</t>
        </is>
      </c>
    </row>
    <row r="15">
      <c r="G15" t="inlineStr">
        <is>
          <t>FCF per share</t>
        </is>
      </c>
    </row>
    <row r="17">
      <c r="N17" s="66" t="inlineStr">
        <is>
          <t>CHECKLIST - Why should I buy ?</t>
        </is>
      </c>
    </row>
    <row r="18">
      <c r="G18" t="inlineStr">
        <is>
          <t>Revenue</t>
        </is>
      </c>
      <c r="H18" s="75" t="n">
        <v>15.77</v>
      </c>
      <c r="O18" s="67" t="inlineStr">
        <is>
          <t>Fair Price today</t>
        </is>
      </c>
    </row>
    <row r="19">
      <c r="G19" t="inlineStr">
        <is>
          <t>Expenses</t>
        </is>
      </c>
      <c r="H19" t="n">
        <v>6.778</v>
      </c>
      <c r="O19" s="67" t="inlineStr">
        <is>
          <t>Quality of Management, Culture, Long Tenure</t>
        </is>
      </c>
    </row>
    <row r="20">
      <c r="G20" t="inlineStr">
        <is>
          <t>Net Income</t>
        </is>
      </c>
      <c r="H20" t="n">
        <v>1.834</v>
      </c>
      <c r="O20" s="67" t="inlineStr">
        <is>
          <t>Low Debt</t>
        </is>
      </c>
    </row>
    <row r="21">
      <c r="G21" t="inlineStr">
        <is>
          <t>Net Income Margin</t>
        </is>
      </c>
      <c r="O21" s="67" t="inlineStr">
        <is>
          <t>Asymetric potential - Low downside, High upside</t>
        </is>
      </c>
    </row>
    <row r="22">
      <c r="G22" t="inlineStr">
        <is>
          <t>PE ratio</t>
        </is>
      </c>
      <c r="O22" s="67" t="inlineStr">
        <is>
          <t>Growth Potential - scale 10x in 10yrs</t>
        </is>
      </c>
    </row>
    <row r="23">
      <c r="O23" s="67" t="inlineStr">
        <is>
          <t>Can it withstand a big recession ?</t>
        </is>
      </c>
    </row>
    <row r="24">
      <c r="G24" t="inlineStr">
        <is>
          <t>Assets</t>
        </is>
      </c>
    </row>
    <row r="25">
      <c r="G25" t="inlineStr">
        <is>
          <t>Liabilities</t>
        </is>
      </c>
    </row>
    <row r="26">
      <c r="G26" t="inlineStr">
        <is>
          <t>Book Value (Share equity)</t>
        </is>
      </c>
    </row>
    <row r="27">
      <c r="G27" t="inlineStr">
        <is>
          <t>Current ratio</t>
        </is>
      </c>
    </row>
    <row r="28">
      <c r="G28" t="inlineStr">
        <is>
          <t>Debt to equity ratio</t>
        </is>
      </c>
    </row>
    <row r="31">
      <c r="G31" t="inlineStr">
        <is>
          <t>Market cap</t>
        </is>
      </c>
    </row>
    <row r="32">
      <c r="G32" t="inlineStr">
        <is>
          <t>Num shares</t>
        </is>
      </c>
      <c r="H32" t="inlineStr">
        <is>
          <t>934</t>
        </is>
      </c>
    </row>
    <row r="33">
      <c r="G33" t="inlineStr">
        <is>
          <t>Dividend</t>
        </is>
      </c>
    </row>
    <row r="34">
      <c r="G34" t="inlineStr">
        <is>
          <t>Free cash Flow</t>
        </is>
      </c>
    </row>
    <row r="35">
      <c r="G35" t="inlineStr">
        <is>
          <t>SGA</t>
        </is>
      </c>
      <c r="H35" t="n">
        <v>4.938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O35"/>
  <sheetViews>
    <sheetView workbookViewId="0">
      <selection activeCell="A1" sqref="A1"/>
    </sheetView>
  </sheetViews>
  <sheetFormatPr baseColWidth="10" defaultColWidth="9.140625" defaultRowHeight="15"/>
  <sheetData>
    <row r="1">
      <c r="A1" s="68" t="inlineStr">
        <is>
          <t>Date</t>
        </is>
      </c>
      <c r="B1" s="68" t="inlineStr">
        <is>
          <t>Qty</t>
        </is>
      </c>
      <c r="C1" s="68" t="inlineStr">
        <is>
          <t>Cost per share</t>
        </is>
      </c>
      <c r="D1" s="68" t="inlineStr">
        <is>
          <t>Total Cost</t>
        </is>
      </c>
    </row>
    <row r="5">
      <c r="G5" t="inlineStr">
        <is>
          <t>Last Reviewed</t>
        </is>
      </c>
      <c r="H5" s="74" t="inlineStr">
        <is>
          <t>2024/06/30</t>
        </is>
      </c>
      <c r="N5" s="68" t="inlineStr">
        <is>
          <t>CHECKLIST - Why should I NOT buy ?</t>
        </is>
      </c>
    </row>
    <row r="6">
      <c r="G6" t="inlineStr">
        <is>
          <t>Company</t>
        </is>
      </c>
      <c r="O6" s="69" t="inlineStr">
        <is>
          <t>Asymetric Risk - High downside, Low upside</t>
        </is>
      </c>
    </row>
    <row r="7">
      <c r="G7" t="inlineStr">
        <is>
          <t>Stock ticker</t>
        </is>
      </c>
      <c r="H7" s="74" t="inlineStr">
        <is>
          <t>INTC</t>
        </is>
      </c>
      <c r="O7" s="69" t="inlineStr">
        <is>
          <t>Potential for technology disruption</t>
        </is>
      </c>
    </row>
    <row r="8">
      <c r="G8" t="inlineStr">
        <is>
          <t>My Money</t>
        </is>
      </c>
      <c r="O8" s="69" t="inlineStr">
        <is>
          <t>Inversion - What could kill the company ?</t>
        </is>
      </c>
    </row>
    <row r="9">
      <c r="O9" s="69" t="inlineStr">
        <is>
          <t>High Cyclical Variation ?</t>
        </is>
      </c>
    </row>
    <row r="10">
      <c r="O10" s="69" t="inlineStr">
        <is>
          <t>Am I paying too high price ?</t>
        </is>
      </c>
    </row>
    <row r="11">
      <c r="G11" t="inlineStr">
        <is>
          <t>Current price</t>
        </is>
      </c>
      <c r="O11" s="69" t="inlineStr">
        <is>
          <t>Is there anything I don’t know ?</t>
        </is>
      </c>
    </row>
    <row r="12">
      <c r="G12" t="inlineStr">
        <is>
          <t>My average cost per share</t>
        </is>
      </c>
    </row>
    <row r="13">
      <c r="G13" t="inlineStr">
        <is>
          <t>Fair value of the stock</t>
        </is>
      </c>
    </row>
    <row r="14">
      <c r="G14" t="inlineStr">
        <is>
          <t>When to buy crazy</t>
        </is>
      </c>
    </row>
    <row r="15">
      <c r="G15" t="inlineStr">
        <is>
          <t>FCF per share</t>
        </is>
      </c>
    </row>
    <row r="17">
      <c r="N17" s="68" t="inlineStr">
        <is>
          <t>CHECKLIST - Why should I buy ?</t>
        </is>
      </c>
    </row>
    <row r="18">
      <c r="G18" t="inlineStr">
        <is>
          <t>Revenue</t>
        </is>
      </c>
      <c r="H18" s="75" t="n">
        <v>12.833</v>
      </c>
      <c r="O18" s="69" t="inlineStr">
        <is>
          <t>Fair Price today</t>
        </is>
      </c>
    </row>
    <row r="19">
      <c r="G19" t="inlineStr">
        <is>
          <t>Expenses</t>
        </is>
      </c>
      <c r="H19" t="n">
        <v>6.511</v>
      </c>
      <c r="O19" s="69" t="inlineStr">
        <is>
          <t>Quality of Management, Culture, Long Tenure</t>
        </is>
      </c>
    </row>
    <row r="20">
      <c r="G20" t="inlineStr">
        <is>
          <t>Net Income</t>
        </is>
      </c>
      <c r="H20" t="inlineStr">
        <is>
          <t>$-1.610</t>
        </is>
      </c>
      <c r="O20" s="69" t="inlineStr">
        <is>
          <t>Low Debt</t>
        </is>
      </c>
    </row>
    <row r="21">
      <c r="G21" t="inlineStr">
        <is>
          <t>Net Income Margin</t>
        </is>
      </c>
      <c r="O21" s="69" t="inlineStr">
        <is>
          <t>Asymetric potential - Low downside, High upside</t>
        </is>
      </c>
    </row>
    <row r="22">
      <c r="G22" t="inlineStr">
        <is>
          <t>PE ratio</t>
        </is>
      </c>
      <c r="O22" s="69" t="inlineStr">
        <is>
          <t>Growth Potential - scale 10x in 10yrs</t>
        </is>
      </c>
    </row>
    <row r="23">
      <c r="O23" s="69" t="inlineStr">
        <is>
          <t>Can it withstand a big recession ?</t>
        </is>
      </c>
    </row>
    <row r="24">
      <c r="G24" t="inlineStr">
        <is>
          <t>Assets</t>
        </is>
      </c>
    </row>
    <row r="25">
      <c r="G25" t="inlineStr">
        <is>
          <t>Liabilities</t>
        </is>
      </c>
    </row>
    <row r="26">
      <c r="G26" t="inlineStr">
        <is>
          <t>Book Value (Share equity)</t>
        </is>
      </c>
    </row>
    <row r="27">
      <c r="G27" t="inlineStr">
        <is>
          <t>Current ratio</t>
        </is>
      </c>
    </row>
    <row r="28">
      <c r="G28" t="inlineStr">
        <is>
          <t>Debt to equity ratio</t>
        </is>
      </c>
    </row>
    <row r="31">
      <c r="G31" t="inlineStr">
        <is>
          <t>Market cap</t>
        </is>
      </c>
    </row>
    <row r="32">
      <c r="G32" t="inlineStr">
        <is>
          <t>Num shares</t>
        </is>
      </c>
      <c r="H32" t="inlineStr">
        <is>
          <t>4.267</t>
        </is>
      </c>
    </row>
    <row r="33">
      <c r="G33" t="inlineStr">
        <is>
          <t>Dividend</t>
        </is>
      </c>
    </row>
    <row r="34">
      <c r="G34" t="inlineStr">
        <is>
          <t>Free cash Flow</t>
        </is>
      </c>
    </row>
    <row r="35">
      <c r="G35" t="inlineStr">
        <is>
          <t>SGA</t>
        </is>
      </c>
      <c r="H35" t="n">
        <v>1.329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O35"/>
  <sheetViews>
    <sheetView workbookViewId="0">
      <selection activeCell="A1" sqref="A1"/>
    </sheetView>
  </sheetViews>
  <sheetFormatPr baseColWidth="8" defaultRowHeight="15"/>
  <sheetData>
    <row r="1">
      <c r="A1" s="77" t="inlineStr">
        <is>
          <t>Date</t>
        </is>
      </c>
      <c r="B1" s="77" t="inlineStr">
        <is>
          <t>Qty</t>
        </is>
      </c>
      <c r="C1" s="77" t="inlineStr">
        <is>
          <t>Cost per share</t>
        </is>
      </c>
      <c r="D1" s="77" t="inlineStr">
        <is>
          <t>Total Cost</t>
        </is>
      </c>
    </row>
    <row r="5">
      <c r="G5" t="inlineStr">
        <is>
          <t>Last Reviewed</t>
        </is>
      </c>
      <c r="N5" s="77" t="inlineStr">
        <is>
          <t>CHECKLIST - Why should I NOT buy ?</t>
        </is>
      </c>
    </row>
    <row r="6">
      <c r="G6" t="inlineStr">
        <is>
          <t>Company</t>
        </is>
      </c>
      <c r="O6" s="78" t="inlineStr">
        <is>
          <t>Asymetric Risk - High downside, Low upside</t>
        </is>
      </c>
    </row>
    <row r="7">
      <c r="G7" t="inlineStr">
        <is>
          <t>Stock ticker</t>
        </is>
      </c>
      <c r="O7" s="78" t="inlineStr">
        <is>
          <t>Potential for technology disruption</t>
        </is>
      </c>
    </row>
    <row r="8">
      <c r="G8" t="inlineStr">
        <is>
          <t>My Money</t>
        </is>
      </c>
      <c r="O8" s="78" t="inlineStr">
        <is>
          <t>Inversion - What could kill the company ?</t>
        </is>
      </c>
    </row>
    <row r="9">
      <c r="O9" s="78" t="inlineStr">
        <is>
          <t>High Cyclical Variation ?</t>
        </is>
      </c>
    </row>
    <row r="10">
      <c r="O10" s="78" t="inlineStr">
        <is>
          <t>Am I paying too high price ?</t>
        </is>
      </c>
    </row>
    <row r="11">
      <c r="G11" t="inlineStr">
        <is>
          <t>Current price</t>
        </is>
      </c>
      <c r="O11" s="78" t="inlineStr">
        <is>
          <t>Is there anything I don’t know ?</t>
        </is>
      </c>
    </row>
    <row r="12">
      <c r="G12" t="inlineStr">
        <is>
          <t>My average cost per share</t>
        </is>
      </c>
    </row>
    <row r="13">
      <c r="G13" t="inlineStr">
        <is>
          <t>Fair value of the stock</t>
        </is>
      </c>
    </row>
    <row r="14">
      <c r="G14" t="inlineStr">
        <is>
          <t>When to buy crazy</t>
        </is>
      </c>
    </row>
    <row r="15">
      <c r="G15" t="inlineStr">
        <is>
          <t>FCF per share</t>
        </is>
      </c>
    </row>
    <row r="17">
      <c r="N17" s="77" t="inlineStr">
        <is>
          <t>CHECKLIST - Why should I buy ?</t>
        </is>
      </c>
    </row>
    <row r="18">
      <c r="G18" t="inlineStr">
        <is>
          <t>Revenue</t>
        </is>
      </c>
      <c r="O18" s="78" t="inlineStr">
        <is>
          <t>Fair Price today</t>
        </is>
      </c>
    </row>
    <row r="19">
      <c r="G19" t="inlineStr">
        <is>
          <t>Expenses</t>
        </is>
      </c>
      <c r="O19" s="78" t="inlineStr">
        <is>
          <t>Quality of Management, Culture, Long Tenure</t>
        </is>
      </c>
    </row>
    <row r="20">
      <c r="G20" t="inlineStr">
        <is>
          <t>Net Income</t>
        </is>
      </c>
      <c r="O20" s="78" t="inlineStr">
        <is>
          <t>Low Debt</t>
        </is>
      </c>
    </row>
    <row r="21">
      <c r="G21" t="inlineStr">
        <is>
          <t>Net Income Margin</t>
        </is>
      </c>
      <c r="O21" s="78" t="inlineStr">
        <is>
          <t>Asymetric potential - Low downside, High upside</t>
        </is>
      </c>
    </row>
    <row r="22">
      <c r="G22" t="inlineStr">
        <is>
          <t>PE ratio</t>
        </is>
      </c>
      <c r="O22" s="78" t="inlineStr">
        <is>
          <t>Growth Potential - scale 10x in 10yrs</t>
        </is>
      </c>
    </row>
    <row r="23">
      <c r="O23" s="78" t="inlineStr">
        <is>
          <t>Can it withstand a big recession ?</t>
        </is>
      </c>
    </row>
    <row r="24">
      <c r="G24" t="inlineStr">
        <is>
          <t>Assets</t>
        </is>
      </c>
    </row>
    <row r="25">
      <c r="G25" t="inlineStr">
        <is>
          <t>Liabilities</t>
        </is>
      </c>
    </row>
    <row r="26">
      <c r="G26" t="inlineStr">
        <is>
          <t>Book Value (Share equity)</t>
        </is>
      </c>
    </row>
    <row r="27">
      <c r="G27" t="inlineStr">
        <is>
          <t>Current ratio</t>
        </is>
      </c>
    </row>
    <row r="28">
      <c r="G28" t="inlineStr">
        <is>
          <t>Debt to equity ratio</t>
        </is>
      </c>
    </row>
    <row r="31">
      <c r="G31" t="inlineStr">
        <is>
          <t>Market cap</t>
        </is>
      </c>
    </row>
    <row r="32">
      <c r="G32" t="inlineStr">
        <is>
          <t>Num shares</t>
        </is>
      </c>
    </row>
    <row r="33">
      <c r="G33" t="inlineStr">
        <is>
          <t>Dividend</t>
        </is>
      </c>
    </row>
    <row r="34">
      <c r="G34" t="inlineStr">
        <is>
          <t>Free cash Flow</t>
        </is>
      </c>
    </row>
    <row r="35">
      <c r="G35" t="inlineStr">
        <is>
          <t>SGA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2024-09-07T21:22:33Z</dcterms:created>
  <dcterms:modified xsi:type="dcterms:W3CDTF">2024-09-21T21:20:06Z</dcterms:modified>
  <cp:lastModifiedBy>Familia</cp:lastModifiedBy>
</cp:coreProperties>
</file>