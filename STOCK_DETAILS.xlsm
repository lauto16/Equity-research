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Familia\Desktop\Proyectos\RepoEquity\Equity-research\"/>
    </mc:Choice>
  </mc:AlternateContent>
  <bookViews>
    <workbookView xWindow="0" yWindow="0" windowWidth="20490" windowHeight="7650" activeTab="1"/>
  </bookViews>
  <sheets>
    <sheet name="SUMMARY" sheetId="1" r:id="rId1"/>
    <sheet name="ROP" sheetId="2" r:id="rId2"/>
    <sheet name="DXPE" sheetId="3" r:id="rId3"/>
  </sheets>
  <calcPr calcId="162913"/>
</workbook>
</file>

<file path=xl/calcChain.xml><?xml version="1.0" encoding="utf-8"?>
<calcChain xmlns="http://schemas.openxmlformats.org/spreadsheetml/2006/main">
  <c r="H28" i="3" l="1"/>
  <c r="H27" i="3"/>
  <c r="H29" i="3" s="1"/>
  <c r="H22" i="3"/>
  <c r="H23" i="3" s="1"/>
  <c r="H21" i="3"/>
  <c r="Q20" i="3"/>
  <c r="H15" i="3"/>
  <c r="K13" i="3"/>
  <c r="H13" i="3"/>
  <c r="K12" i="3"/>
  <c r="H12" i="3" s="1"/>
  <c r="D9" i="1" s="1"/>
  <c r="H8" i="3"/>
  <c r="D6" i="3"/>
  <c r="D5" i="3"/>
  <c r="H28" i="2"/>
  <c r="H27" i="2"/>
  <c r="H29" i="2" s="1"/>
  <c r="J23" i="2"/>
  <c r="H23" i="2" s="1"/>
  <c r="H21" i="2"/>
  <c r="Q18" i="2"/>
  <c r="H13" i="2"/>
  <c r="J12" i="2"/>
  <c r="H12" i="2"/>
  <c r="D8" i="1" s="1"/>
  <c r="H8" i="2"/>
  <c r="C9" i="1"/>
  <c r="C8" i="1"/>
</calcChain>
</file>

<file path=xl/sharedStrings.xml><?xml version="1.0" encoding="utf-8"?>
<sst xmlns="http://schemas.openxmlformats.org/spreadsheetml/2006/main" count="211" uniqueCount="112">
  <si>
    <t>Symbol:</t>
  </si>
  <si>
    <t>INTC</t>
  </si>
  <si>
    <t>¡Every time a button is clicked, all the changes in this file will be saved!</t>
  </si>
  <si>
    <t>Name</t>
  </si>
  <si>
    <t>Symbol</t>
  </si>
  <si>
    <t>Quantity</t>
  </si>
  <si>
    <t>Cost per share</t>
  </si>
  <si>
    <t>Total cost</t>
  </si>
  <si>
    <t>Market value</t>
  </si>
  <si>
    <t>Percent gain/loss</t>
  </si>
  <si>
    <t>Gross Margin</t>
  </si>
  <si>
    <t xml:space="preserve">Net Margin </t>
  </si>
  <si>
    <t>Current Ratio</t>
  </si>
  <si>
    <t>Debt to Equity Ratio</t>
  </si>
  <si>
    <t>Roper Technologies</t>
  </si>
  <si>
    <t>ROP</t>
  </si>
  <si>
    <t>DXPE Technologies</t>
  </si>
  <si>
    <t>DXPE</t>
  </si>
  <si>
    <t xml:space="preserve">My email is </t>
  </si>
  <si>
    <t>duminda_dewa@yahoo.com</t>
  </si>
  <si>
    <t>if you want to reach me directly in the future</t>
  </si>
  <si>
    <t>Date</t>
  </si>
  <si>
    <t>Qty</t>
  </si>
  <si>
    <t>Total Cost</t>
  </si>
  <si>
    <t>(My notes, need to keep these)</t>
  </si>
  <si>
    <t>(need to update with the latest data from internet)</t>
  </si>
  <si>
    <t xml:space="preserve">Last Reviewed </t>
  </si>
  <si>
    <t>2024/06/30</t>
  </si>
  <si>
    <t>CHECKLIST - Why should I NOT buy ?</t>
  </si>
  <si>
    <t xml:space="preserve">Company </t>
  </si>
  <si>
    <t>No</t>
  </si>
  <si>
    <t>Asymetric Risk - High downside, Low upside</t>
  </si>
  <si>
    <t xml:space="preserve">Stock ticker </t>
  </si>
  <si>
    <t>Maybe</t>
  </si>
  <si>
    <t>Potential for technology disruption</t>
  </si>
  <si>
    <t>Possible</t>
  </si>
  <si>
    <t>My Money</t>
  </si>
  <si>
    <t>Inversion - What could kill the company ?</t>
  </si>
  <si>
    <t>unlikely</t>
  </si>
  <si>
    <t>High Cyclical Variation ?</t>
  </si>
  <si>
    <t>Am I paying too high price ?</t>
  </si>
  <si>
    <t>Current price</t>
  </si>
  <si>
    <t>Yes</t>
  </si>
  <si>
    <t xml:space="preserve">Is there anything I don’t know ? </t>
  </si>
  <si>
    <t>How does software companies value intangible assets?</t>
  </si>
  <si>
    <t>My average cost per share</t>
  </si>
  <si>
    <t>Num shares</t>
  </si>
  <si>
    <t>Fair value of the stock</t>
  </si>
  <si>
    <t>Book Value / Num shares</t>
  </si>
  <si>
    <t>When to buy crazy</t>
  </si>
  <si>
    <t>up to another</t>
  </si>
  <si>
    <t>FCF per share</t>
  </si>
  <si>
    <t>CHECKLIST - Why should I buy ?</t>
  </si>
  <si>
    <t xml:space="preserve">Revenue </t>
  </si>
  <si>
    <t>Billion  TTM</t>
  </si>
  <si>
    <t>Trailing 12 months</t>
  </si>
  <si>
    <t>Fair Price today</t>
  </si>
  <si>
    <t>Expenses</t>
  </si>
  <si>
    <t>Quality of Management, Culture, Long Tenure</t>
  </si>
  <si>
    <t>previous history of founders</t>
  </si>
  <si>
    <t xml:space="preserve">Net Inome </t>
  </si>
  <si>
    <t>maybe</t>
  </si>
  <si>
    <t>Moat, Premium Brand, pricing power, hard to eat by competitors</t>
  </si>
  <si>
    <t>Net Income Margin</t>
  </si>
  <si>
    <t>Net income / Revenue TTM</t>
  </si>
  <si>
    <t>Low Debt</t>
  </si>
  <si>
    <t>?</t>
  </si>
  <si>
    <t>EPS</t>
  </si>
  <si>
    <t>Asymetric potential - Low downside, High upside</t>
  </si>
  <si>
    <t>PE ratio</t>
  </si>
  <si>
    <t>Growth Potential - scale 10x in 10yrs</t>
  </si>
  <si>
    <t>Benefit from long term secular (non-cyclical) trends</t>
  </si>
  <si>
    <t>yes AI</t>
  </si>
  <si>
    <t>Assets</t>
  </si>
  <si>
    <t>Billion</t>
  </si>
  <si>
    <t>Can it withstand a big recession ?</t>
  </si>
  <si>
    <t>Liabilities</t>
  </si>
  <si>
    <t>Book Value (Share equity)</t>
  </si>
  <si>
    <t>Current ratio</t>
  </si>
  <si>
    <t>assets/liabilities</t>
  </si>
  <si>
    <t>Debt to equity ratio</t>
  </si>
  <si>
    <t>liabilities/equity</t>
  </si>
  <si>
    <t>Market cap</t>
  </si>
  <si>
    <t xml:space="preserve">Dividend </t>
  </si>
  <si>
    <t>Free cash Flow</t>
  </si>
  <si>
    <t>(some of these cells have formulas)</t>
  </si>
  <si>
    <t>(but we can also get the values from website )</t>
  </si>
  <si>
    <t>We can consider this source also - it has APIs and no need to scarpe from html</t>
  </si>
  <si>
    <t>https://site.financialmodelingprep.com/developer/docs#balance-statements-as-reported-financial-statements</t>
  </si>
  <si>
    <t>but its is up to you, if you think getting from macrotrends is easy, that is ok</t>
  </si>
  <si>
    <t>DXP Exnterprises</t>
  </si>
  <si>
    <t>(industrial Machinary)</t>
  </si>
  <si>
    <t>Price / Book (equity)</t>
  </si>
  <si>
    <t>TTM</t>
  </si>
  <si>
    <t>QTR</t>
  </si>
  <si>
    <t>B</t>
  </si>
  <si>
    <t>Net Margin</t>
  </si>
  <si>
    <t xml:space="preserve">Net income / Revenue </t>
  </si>
  <si>
    <t>https://simplywall.st/stocks/us/capital-goods/nasdaq-dxpe/dxp-enterprises/management</t>
  </si>
  <si>
    <t>Equity</t>
  </si>
  <si>
    <t>Liabilities / Equity</t>
  </si>
  <si>
    <t>TTM  = Trailing 12 months</t>
  </si>
  <si>
    <t>Other things to add:</t>
  </si>
  <si>
    <t>Dividend</t>
  </si>
  <si>
    <t>cash</t>
  </si>
  <si>
    <t>short term DEBT</t>
  </si>
  <si>
    <t>Long term debt</t>
  </si>
  <si>
    <t>debt to equity ratio</t>
  </si>
  <si>
    <t>IRR</t>
  </si>
  <si>
    <t>ROIC</t>
  </si>
  <si>
    <t>Gross margin (gross profit before taxes etc/ revenue)</t>
  </si>
  <si>
    <t>S G &amp; A margin (SG&amp;A/gross profit)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</si>
</sst>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42" formatCode="_-&quot;$&quot;\ * #,##0_-;\-&quot;$&quot;\ * #,##0_-;_-&quot;$&quot;\ * &quot;-&quot;_-;_-@_-"/>
    <numFmt numFmtId="164" formatCode="&quot;$&quot;#,##0.00"/>
    <numFmt numFmtId="165" formatCode="0.000"/>
    <numFmt numFmtId="166" formatCode="&quot;$&quot;#,##0"/>
    <numFmt numFmtId="167" formatCode="&quot;$&quot;#,##0_);[Red]\(&quot;$&quot;#,##0\)"/>
    <numFmt numFmtId="168" formatCode="0.0%"/>
    <numFmt numFmtId="169" formatCode="0.0000"/>
    <numFmt numFmtId="170" formatCode="0.0"/>
  </numFmts>
  <fonts count="26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Aptos Display"/>
      <family val="2"/>
    </font>
    <font>
      <sz val="11"/>
      <color theme="1"/>
      <name val="Aptos Display"/>
      <family val="2"/>
    </font>
    <font>
      <sz val="11"/>
      <color theme="1"/>
      <name val="Arial Nova Cond"/>
      <family val="2"/>
    </font>
    <font>
      <sz val="11"/>
      <color rgb="FFFF0000"/>
      <name val="Arial Nova Cond"/>
      <family val="2"/>
    </font>
    <font>
      <sz val="11"/>
      <name val="Arial Nova Cond"/>
      <family val="2"/>
    </font>
    <font>
      <b/>
      <sz val="11"/>
      <name val="Arial Nova Cond"/>
      <family val="2"/>
    </font>
    <font>
      <b/>
      <sz val="11"/>
      <color rgb="FFFF0000"/>
      <name val="Arial Nova Cond"/>
      <family val="2"/>
    </font>
    <font>
      <sz val="10"/>
      <name val="Arial"/>
      <family val="2"/>
    </font>
    <font>
      <sz val="11"/>
      <color theme="0" tint="-4.9989318521683403E-2"/>
      <name val="Arial Nova Cond"/>
      <family val="2"/>
    </font>
    <font>
      <b/>
      <u/>
      <sz val="11"/>
      <color rgb="FFFF0000"/>
      <name val="Arial Nova Cond"/>
      <family val="2"/>
    </font>
    <font>
      <b/>
      <sz val="11"/>
      <name val="Arial Nova Cond"/>
    </font>
    <font>
      <b/>
      <sz val="11"/>
      <color rgb="FFFF0000"/>
      <name val="Arial Nova Cond"/>
    </font>
    <font>
      <sz val="11"/>
      <color rgb="FFFF0000"/>
      <name val="Arial Nova Cond"/>
    </font>
    <font>
      <b/>
      <sz val="11"/>
      <color theme="1"/>
      <name val="Aptos Display"/>
    </font>
    <font>
      <sz val="11"/>
      <color rgb="FFFF0000"/>
      <name val="Calibri"/>
      <family val="2"/>
      <scheme val="minor"/>
    </font>
    <font>
      <sz val="11"/>
      <color rgb="FFFF0000"/>
      <name val="Aptos Display"/>
      <family val="2"/>
    </font>
    <font>
      <u/>
      <sz val="11"/>
      <color rgb="FFFF0000"/>
      <name val="Calibri"/>
      <family val="2"/>
      <scheme val="minor"/>
    </font>
    <font>
      <sz val="11"/>
      <color rgb="FF0000FF"/>
      <name val="Arial Nova Cond"/>
    </font>
    <font>
      <sz val="11"/>
      <name val="Arial Nova Cond"/>
    </font>
    <font>
      <sz val="11"/>
      <color theme="0" tint="-0.499984740745262"/>
      <name val="Aptos Display"/>
      <family val="2"/>
    </font>
    <font>
      <u/>
      <sz val="11"/>
      <color theme="0" tint="-0.499984740745262"/>
      <name val="Calibri"/>
      <family val="2"/>
      <scheme val="minor"/>
    </font>
    <font>
      <sz val="11"/>
      <color rgb="FF0000FF"/>
      <name val="Arial Nova Cond"/>
      <family val="2"/>
    </font>
    <font>
      <sz val="11"/>
      <color theme="5"/>
      <name val="Aptos Display"/>
    </font>
    <font>
      <sz val="11"/>
      <color rgb="FF808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/>
      <top/>
      <bottom/>
      <diagonal/>
    </border>
  </borders>
  <cellStyleXfs count="3">
    <xf numFmtId="0" fontId="0" fillId="0" borderId="0"/>
    <xf numFmtId="0" fontId="1" fillId="0" borderId="0"/>
    <xf numFmtId="0" fontId="9" fillId="0" borderId="0">
      <alignment vertical="top"/>
    </xf>
  </cellStyleXfs>
  <cellXfs count="68">
    <xf numFmtId="0" fontId="0" fillId="0" borderId="0" xfId="0"/>
    <xf numFmtId="0" fontId="1" fillId="0" borderId="0" xfId="1"/>
    <xf numFmtId="0" fontId="2" fillId="0" borderId="0" xfId="0" applyFont="1"/>
    <xf numFmtId="0" fontId="4" fillId="0" borderId="0" xfId="0" applyFont="1"/>
    <xf numFmtId="0" fontId="4" fillId="0" borderId="0" xfId="0" applyFont="1" applyAlignment="1">
      <alignment horizontal="left" vertical="center"/>
    </xf>
    <xf numFmtId="0" fontId="4" fillId="0" borderId="1" xfId="0" applyFont="1" applyBorder="1"/>
    <xf numFmtId="0" fontId="5" fillId="0" borderId="0" xfId="0" applyFont="1"/>
    <xf numFmtId="0" fontId="8" fillId="0" borderId="0" xfId="0" applyFont="1"/>
    <xf numFmtId="14" fontId="5" fillId="0" borderId="0" xfId="0" applyNumberFormat="1" applyFont="1"/>
    <xf numFmtId="1" fontId="5" fillId="0" borderId="0" xfId="0" applyNumberFormat="1" applyFont="1"/>
    <xf numFmtId="2" fontId="5" fillId="0" borderId="0" xfId="0" applyNumberFormat="1" applyFont="1" applyAlignment="1">
      <alignment horizontal="left" vertical="center"/>
    </xf>
    <xf numFmtId="14" fontId="7" fillId="0" borderId="0" xfId="0" applyNumberFormat="1" applyFont="1" applyAlignment="1">
      <alignment horizontal="right"/>
    </xf>
    <xf numFmtId="1" fontId="7" fillId="0" borderId="0" xfId="0" applyNumberFormat="1" applyFont="1" applyAlignment="1">
      <alignment horizontal="right"/>
    </xf>
    <xf numFmtId="0" fontId="7" fillId="0" borderId="0" xfId="0" applyFont="1"/>
    <xf numFmtId="0" fontId="7" fillId="0" borderId="0" xfId="0" applyFont="1" applyAlignment="1">
      <alignment horizontal="left" vertical="center"/>
    </xf>
    <xf numFmtId="0" fontId="7" fillId="0" borderId="1" xfId="0" applyFont="1" applyBorder="1"/>
    <xf numFmtId="14" fontId="6" fillId="0" borderId="0" xfId="0" applyNumberFormat="1" applyFont="1"/>
    <xf numFmtId="1" fontId="6" fillId="0" borderId="0" xfId="0" applyNumberFormat="1" applyFont="1"/>
    <xf numFmtId="0" fontId="6" fillId="0" borderId="0" xfId="0" applyFont="1"/>
    <xf numFmtId="14" fontId="7" fillId="0" borderId="0" xfId="0" applyNumberFormat="1" applyFont="1" applyAlignment="1">
      <alignment horizontal="left"/>
    </xf>
    <xf numFmtId="0" fontId="6" fillId="0" borderId="1" xfId="0" applyFont="1" applyBorder="1"/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/>
    </xf>
    <xf numFmtId="1" fontId="7" fillId="0" borderId="0" xfId="0" applyNumberFormat="1" applyFont="1" applyAlignment="1">
      <alignment horizontal="left" vertical="center"/>
    </xf>
    <xf numFmtId="2" fontId="6" fillId="0" borderId="0" xfId="0" applyNumberFormat="1" applyFont="1" applyAlignment="1">
      <alignment horizontal="left" vertical="center"/>
    </xf>
    <xf numFmtId="2" fontId="6" fillId="0" borderId="0" xfId="0" applyNumberFormat="1" applyFont="1" applyAlignment="1">
      <alignment horizontal="left"/>
    </xf>
    <xf numFmtId="2" fontId="6" fillId="0" borderId="0" xfId="0" applyNumberFormat="1" applyFont="1"/>
    <xf numFmtId="0" fontId="6" fillId="0" borderId="0" xfId="0" applyFont="1" applyAlignment="1">
      <alignment horizontal="left" indent="1"/>
    </xf>
    <xf numFmtId="2" fontId="10" fillId="0" borderId="0" xfId="0" applyNumberFormat="1" applyFont="1" applyAlignment="1">
      <alignment horizontal="left"/>
    </xf>
    <xf numFmtId="0" fontId="11" fillId="0" borderId="0" xfId="0" applyFont="1"/>
    <xf numFmtId="0" fontId="12" fillId="0" borderId="0" xfId="0" applyFont="1"/>
    <xf numFmtId="0" fontId="13" fillId="0" borderId="0" xfId="0" applyFont="1"/>
    <xf numFmtId="0" fontId="14" fillId="0" borderId="0" xfId="0" applyFont="1"/>
    <xf numFmtId="0" fontId="15" fillId="0" borderId="0" xfId="0" applyFont="1"/>
    <xf numFmtId="0" fontId="17" fillId="0" borderId="0" xfId="0" applyFont="1"/>
    <xf numFmtId="0" fontId="16" fillId="0" borderId="0" xfId="0" applyFont="1"/>
    <xf numFmtId="0" fontId="18" fillId="0" borderId="0" xfId="1" applyFont="1"/>
    <xf numFmtId="14" fontId="19" fillId="0" borderId="0" xfId="0" applyNumberFormat="1" applyFont="1" applyAlignment="1">
      <alignment horizontal="left"/>
    </xf>
    <xf numFmtId="0" fontId="20" fillId="0" borderId="0" xfId="0" applyFont="1"/>
    <xf numFmtId="2" fontId="3" fillId="0" borderId="0" xfId="0" applyNumberFormat="1" applyFont="1"/>
    <xf numFmtId="0" fontId="15" fillId="0" borderId="0" xfId="0" applyFont="1" applyAlignment="1">
      <alignment horizontal="center"/>
    </xf>
    <xf numFmtId="1" fontId="3" fillId="0" borderId="0" xfId="0" applyNumberFormat="1" applyFont="1"/>
    <xf numFmtId="0" fontId="21" fillId="0" borderId="0" xfId="0" applyFont="1"/>
    <xf numFmtId="0" fontId="22" fillId="0" borderId="0" xfId="1" applyFont="1"/>
    <xf numFmtId="0" fontId="23" fillId="0" borderId="0" xfId="0" applyFont="1"/>
    <xf numFmtId="0" fontId="3" fillId="2" borderId="0" xfId="0" applyFont="1" applyFill="1"/>
    <xf numFmtId="0" fontId="24" fillId="0" borderId="0" xfId="0" applyFont="1"/>
    <xf numFmtId="0" fontId="3" fillId="0" borderId="0" xfId="0" applyFont="1"/>
    <xf numFmtId="164" fontId="6" fillId="0" borderId="0" xfId="0" applyNumberFormat="1" applyFont="1"/>
    <xf numFmtId="164" fontId="7" fillId="0" borderId="0" xfId="0" applyNumberFormat="1" applyFont="1" applyAlignment="1">
      <alignment horizontal="right"/>
    </xf>
    <xf numFmtId="165" fontId="6" fillId="0" borderId="0" xfId="0" applyNumberFormat="1" applyFont="1"/>
    <xf numFmtId="166" fontId="6" fillId="0" borderId="0" xfId="0" applyNumberFormat="1" applyFont="1" applyAlignment="1">
      <alignment horizontal="left" vertical="center"/>
    </xf>
    <xf numFmtId="164" fontId="6" fillId="0" borderId="0" xfId="0" applyNumberFormat="1" applyFont="1" applyAlignment="1">
      <alignment horizontal="left" vertical="center"/>
    </xf>
    <xf numFmtId="164" fontId="7" fillId="0" borderId="0" xfId="0" applyNumberFormat="1" applyFont="1" applyAlignment="1">
      <alignment horizontal="left" vertical="center"/>
    </xf>
    <xf numFmtId="164" fontId="13" fillId="0" borderId="0" xfId="0" applyNumberFormat="1" applyFont="1" applyAlignment="1">
      <alignment horizontal="left" vertical="center"/>
    </xf>
    <xf numFmtId="167" fontId="6" fillId="0" borderId="0" xfId="0" applyNumberFormat="1" applyFont="1"/>
    <xf numFmtId="164" fontId="20" fillId="0" borderId="0" xfId="0" applyNumberFormat="1" applyFont="1"/>
    <xf numFmtId="168" fontId="6" fillId="0" borderId="0" xfId="0" applyNumberFormat="1" applyFont="1" applyAlignment="1">
      <alignment horizontal="left" vertical="center"/>
    </xf>
    <xf numFmtId="169" fontId="6" fillId="0" borderId="0" xfId="0" applyNumberFormat="1" applyFont="1"/>
    <xf numFmtId="170" fontId="6" fillId="0" borderId="0" xfId="0" applyNumberFormat="1" applyFont="1" applyAlignment="1">
      <alignment horizontal="left" vertical="center"/>
    </xf>
    <xf numFmtId="164" fontId="5" fillId="0" borderId="0" xfId="0" applyNumberFormat="1" applyFont="1"/>
    <xf numFmtId="166" fontId="5" fillId="0" borderId="0" xfId="0" applyNumberFormat="1" applyFont="1" applyAlignment="1">
      <alignment horizontal="left" vertical="center"/>
    </xf>
    <xf numFmtId="165" fontId="6" fillId="0" borderId="0" xfId="0" applyNumberFormat="1" applyFont="1" applyAlignment="1">
      <alignment horizontal="left"/>
    </xf>
    <xf numFmtId="165" fontId="10" fillId="0" borderId="0" xfId="0" applyNumberFormat="1" applyFont="1"/>
    <xf numFmtId="168" fontId="10" fillId="0" borderId="0" xfId="0" applyNumberFormat="1" applyFont="1" applyAlignment="1">
      <alignment horizontal="right" vertical="center"/>
    </xf>
    <xf numFmtId="165" fontId="6" fillId="0" borderId="0" xfId="0" applyNumberFormat="1" applyFont="1" applyAlignment="1">
      <alignment horizontal="left" vertical="center"/>
    </xf>
    <xf numFmtId="42" fontId="9" fillId="0" borderId="0" xfId="2" applyNumberFormat="1" applyAlignment="1">
      <alignment vertical="top"/>
    </xf>
    <xf numFmtId="3" fontId="6" fillId="0" borderId="0" xfId="0" applyNumberFormat="1" applyFont="1" applyAlignment="1">
      <alignment horizontal="left"/>
    </xf>
  </cellXfs>
  <cellStyles count="3">
    <cellStyle name="Hipervínculo" xfId="1" builtinId="8"/>
    <cellStyle name="Normal" xfId="0" builtinId="0"/>
    <cellStyle name="Normal 2" xfId="2"/>
  </cellStyles>
  <dxfs count="12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C00000"/>
      </font>
      <fill>
        <patternFill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strike val="0"/>
        <color rgb="FF9C0006"/>
      </font>
      <fill>
        <patternFill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C00000"/>
      </font>
      <fill>
        <patternFill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strike val="0"/>
        <color rgb="FF9C0006"/>
      </font>
      <fill>
        <patternFill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742950</xdr:colOff>
          <xdr:row>1</xdr:row>
          <xdr:rowOff>9525</xdr:rowOff>
        </xdr:from>
        <xdr:to>
          <xdr:col>1</xdr:col>
          <xdr:colOff>790575</xdr:colOff>
          <xdr:row>2</xdr:row>
          <xdr:rowOff>66675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808000"/>
                  </a:solidFill>
                  <a:latin typeface="Calibri"/>
                  <a:cs typeface="Calibri"/>
                </a:rPr>
                <a:t>Add symbol</a:t>
              </a:r>
            </a:p>
            <a:p>
              <a:pPr algn="ctr" rtl="0">
                <a:defRPr sz="1000"/>
              </a:pPr>
              <a:endParaRPr lang="es-AR" sz="1100" b="0" i="0" u="none" strike="noStrike" baseline="0">
                <a:solidFill>
                  <a:srgbClr val="808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733425</xdr:colOff>
          <xdr:row>3</xdr:row>
          <xdr:rowOff>19050</xdr:rowOff>
        </xdr:from>
        <xdr:to>
          <xdr:col>1</xdr:col>
          <xdr:colOff>781050</xdr:colOff>
          <xdr:row>4</xdr:row>
          <xdr:rowOff>85725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808000"/>
                  </a:solidFill>
                  <a:latin typeface="Calibri"/>
                  <a:cs typeface="Calibri"/>
                </a:rPr>
                <a:t>Refresh all symbols</a:t>
              </a:r>
            </a:p>
            <a:p>
              <a:pPr algn="ctr" rtl="0">
                <a:defRPr sz="1000"/>
              </a:pPr>
              <a:endParaRPr lang="es-AR" sz="1100" b="0" i="0" u="none" strike="noStrike" baseline="0">
                <a:solidFill>
                  <a:srgbClr val="808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chemeClr val="accent6"/>
        </a:solidFill>
      </a:spPr>
      <a:bodyPr vertOverflow="clip" horzOverflow="clip" rtlCol="0" anchor="t"/>
      <a:lstStyle>
        <a:defPPr algn="ctr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duminda_dewa@yahoo.com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2:P67"/>
  <sheetViews>
    <sheetView workbookViewId="0">
      <selection activeCell="A5" sqref="A5"/>
    </sheetView>
  </sheetViews>
  <sheetFormatPr baseColWidth="10" defaultColWidth="9.140625" defaultRowHeight="14.25"/>
  <cols>
    <col min="1" max="1" width="22.140625" style="47" customWidth="1"/>
    <col min="2" max="2" width="15.42578125" style="47" customWidth="1"/>
    <col min="3" max="3" width="11.85546875" style="47" customWidth="1"/>
    <col min="4" max="4" width="20.140625" style="47" customWidth="1"/>
    <col min="5" max="5" width="11.85546875" style="47" customWidth="1"/>
    <col min="6" max="7" width="13.7109375" style="47" customWidth="1"/>
    <col min="8" max="8" width="11.85546875" style="47" customWidth="1"/>
    <col min="9" max="9" width="14.85546875" style="47" customWidth="1"/>
    <col min="10" max="10" width="12.140625" style="47" customWidth="1"/>
    <col min="11" max="11" width="17.85546875" style="47" customWidth="1"/>
    <col min="12" max="12" width="20" style="47" customWidth="1"/>
    <col min="13" max="32" width="9.140625" style="47" customWidth="1"/>
    <col min="33" max="16384" width="9.140625" style="47"/>
  </cols>
  <sheetData>
    <row r="2" spans="1:16" ht="15" customHeight="1">
      <c r="C2" s="47" t="s">
        <v>0</v>
      </c>
      <c r="D2" s="45" t="s">
        <v>1</v>
      </c>
      <c r="F2" s="46" t="s">
        <v>2</v>
      </c>
    </row>
    <row r="3" spans="1:16" ht="15.75" customHeight="1">
      <c r="C3" s="40"/>
      <c r="F3" s="43"/>
    </row>
    <row r="4" spans="1:16">
      <c r="F4" s="42"/>
    </row>
    <row r="7" spans="1:16" s="2" customFormat="1" ht="15" customHeight="1">
      <c r="A7" s="2" t="s">
        <v>3</v>
      </c>
      <c r="B7" s="2" t="s">
        <v>4</v>
      </c>
      <c r="C7" s="2" t="s">
        <v>5</v>
      </c>
      <c r="D7" s="2" t="s">
        <v>6</v>
      </c>
      <c r="E7" s="2" t="s">
        <v>7</v>
      </c>
      <c r="F7" s="2" t="s">
        <v>8</v>
      </c>
      <c r="G7" s="2" t="s">
        <v>9</v>
      </c>
      <c r="I7" s="2" t="s">
        <v>10</v>
      </c>
      <c r="J7" s="2" t="s">
        <v>11</v>
      </c>
      <c r="K7" s="2" t="s">
        <v>12</v>
      </c>
      <c r="L7" s="2" t="s">
        <v>13</v>
      </c>
    </row>
    <row r="8" spans="1:16">
      <c r="A8" s="47" t="s">
        <v>14</v>
      </c>
      <c r="B8" s="47" t="s">
        <v>15</v>
      </c>
      <c r="C8" s="47">
        <f>SUM(ROP!B5:B16)</f>
        <v>12.035</v>
      </c>
      <c r="D8" s="39">
        <f>ROP!H12</f>
        <v>516.67432502700444</v>
      </c>
      <c r="L8" s="34"/>
      <c r="M8" s="34"/>
      <c r="N8" s="34"/>
      <c r="O8" s="34"/>
      <c r="P8" s="34"/>
    </row>
    <row r="9" spans="1:16">
      <c r="A9" s="47" t="s">
        <v>16</v>
      </c>
      <c r="B9" s="47" t="s">
        <v>17</v>
      </c>
      <c r="C9" s="41">
        <f>SUM(DXPE!B5:B19)</f>
        <v>40</v>
      </c>
      <c r="D9" s="39">
        <f>DXPE!H12</f>
        <v>55.625</v>
      </c>
      <c r="L9" s="34"/>
      <c r="M9" s="34"/>
      <c r="N9" s="34"/>
      <c r="O9" s="34"/>
      <c r="P9" s="34"/>
    </row>
    <row r="10" spans="1:16">
      <c r="L10" s="34"/>
      <c r="M10" s="34"/>
      <c r="N10" s="34"/>
      <c r="O10" s="34"/>
      <c r="P10" s="34"/>
    </row>
    <row r="11" spans="1:16" ht="15" customHeight="1">
      <c r="C11" s="35"/>
      <c r="L11" s="34"/>
      <c r="M11" s="34"/>
      <c r="N11" s="34"/>
      <c r="O11" s="34"/>
      <c r="P11" s="34"/>
    </row>
    <row r="12" spans="1:16" ht="15" customHeight="1">
      <c r="C12" s="35"/>
      <c r="L12" s="34"/>
      <c r="M12" s="34"/>
      <c r="N12" s="34"/>
      <c r="O12" s="34"/>
      <c r="P12" s="34"/>
    </row>
    <row r="13" spans="1:16" ht="15" customHeight="1">
      <c r="C13" s="35"/>
      <c r="L13" s="34"/>
      <c r="M13" s="34"/>
      <c r="N13" s="34"/>
      <c r="O13" s="34"/>
      <c r="P13" s="34"/>
    </row>
    <row r="14" spans="1:16" ht="15" customHeight="1">
      <c r="C14" s="35"/>
      <c r="L14" s="34"/>
      <c r="M14" s="34"/>
      <c r="N14" s="34"/>
      <c r="O14" s="34"/>
      <c r="P14" s="34"/>
    </row>
    <row r="15" spans="1:16" ht="15" customHeight="1">
      <c r="C15" s="35"/>
      <c r="L15" s="34"/>
      <c r="M15" s="34"/>
      <c r="N15" s="34"/>
      <c r="O15" s="34"/>
      <c r="P15" s="34"/>
    </row>
    <row r="16" spans="1:16" ht="15" customHeight="1">
      <c r="C16" s="35"/>
      <c r="L16" s="34"/>
      <c r="M16" s="34"/>
      <c r="N16" s="34"/>
      <c r="O16" s="34"/>
      <c r="P16" s="34"/>
    </row>
    <row r="17" spans="3:16" ht="15" customHeight="1">
      <c r="C17" s="35"/>
      <c r="H17" s="47" t="s">
        <v>18</v>
      </c>
      <c r="L17" s="34"/>
      <c r="M17" s="34"/>
      <c r="N17" s="34"/>
      <c r="O17" s="34"/>
      <c r="P17" s="34"/>
    </row>
    <row r="18" spans="3:16" ht="15" customHeight="1">
      <c r="C18" s="35"/>
      <c r="H18" s="1" t="s">
        <v>19</v>
      </c>
      <c r="L18" s="34"/>
      <c r="M18" s="34"/>
      <c r="N18" s="34"/>
      <c r="O18" s="34"/>
      <c r="P18" s="34"/>
    </row>
    <row r="19" spans="3:16" ht="15" customHeight="1">
      <c r="C19" s="35"/>
      <c r="H19" s="47" t="s">
        <v>20</v>
      </c>
      <c r="L19" s="34"/>
      <c r="M19" s="34"/>
      <c r="N19" s="34"/>
      <c r="O19" s="34"/>
      <c r="P19" s="34"/>
    </row>
    <row r="20" spans="3:16" ht="15" customHeight="1">
      <c r="C20" s="36"/>
      <c r="L20" s="34"/>
      <c r="M20" s="34"/>
      <c r="N20" s="34"/>
      <c r="O20" s="34"/>
      <c r="P20" s="34"/>
    </row>
    <row r="21" spans="3:16" ht="15" customHeight="1">
      <c r="C21" s="35"/>
      <c r="L21" s="34"/>
      <c r="M21" s="34"/>
      <c r="N21" s="34"/>
      <c r="O21" s="34"/>
      <c r="P21" s="34"/>
    </row>
    <row r="22" spans="3:16" ht="15" customHeight="1">
      <c r="C22" s="35"/>
      <c r="L22" s="34"/>
      <c r="M22" s="34"/>
      <c r="N22" s="34"/>
      <c r="O22" s="34"/>
      <c r="P22" s="34"/>
    </row>
    <row r="23" spans="3:16" ht="15" customHeight="1">
      <c r="C23" s="35"/>
      <c r="L23" s="34"/>
      <c r="M23" s="34"/>
      <c r="N23" s="34"/>
      <c r="O23" s="34"/>
      <c r="P23" s="34"/>
    </row>
    <row r="24" spans="3:16" ht="15" customHeight="1">
      <c r="C24" s="35"/>
      <c r="L24" s="34"/>
      <c r="M24" s="34"/>
      <c r="N24" s="34"/>
      <c r="O24" s="34"/>
      <c r="P24" s="34"/>
    </row>
    <row r="25" spans="3:16" ht="15" customHeight="1">
      <c r="C25" s="35"/>
      <c r="L25" s="34"/>
      <c r="M25" s="34"/>
      <c r="N25" s="34"/>
      <c r="O25" s="34"/>
      <c r="P25" s="34"/>
    </row>
    <row r="26" spans="3:16" ht="15" customHeight="1">
      <c r="C26" s="36"/>
      <c r="L26" s="34"/>
      <c r="M26" s="34"/>
      <c r="N26" s="34"/>
      <c r="O26" s="34"/>
      <c r="P26" s="34"/>
    </row>
    <row r="27" spans="3:16">
      <c r="L27" s="34"/>
      <c r="M27" s="34"/>
      <c r="N27" s="34"/>
      <c r="O27" s="34"/>
      <c r="P27" s="34"/>
    </row>
    <row r="28" spans="3:16">
      <c r="L28" s="34"/>
      <c r="M28" s="34"/>
      <c r="N28" s="34"/>
      <c r="O28" s="34"/>
      <c r="P28" s="34"/>
    </row>
    <row r="29" spans="3:16">
      <c r="L29" s="34"/>
      <c r="M29" s="34"/>
      <c r="N29" s="34"/>
      <c r="O29" s="34"/>
      <c r="P29" s="34"/>
    </row>
    <row r="30" spans="3:16">
      <c r="L30" s="34"/>
      <c r="M30" s="34"/>
      <c r="N30" s="34"/>
      <c r="O30" s="34"/>
      <c r="P30" s="34"/>
    </row>
    <row r="31" spans="3:16">
      <c r="L31" s="34"/>
      <c r="M31" s="34"/>
      <c r="N31" s="34"/>
      <c r="O31" s="34"/>
      <c r="P31" s="34"/>
    </row>
    <row r="32" spans="3:16">
      <c r="L32" s="34"/>
      <c r="M32" s="34"/>
      <c r="N32" s="34"/>
      <c r="O32" s="34"/>
      <c r="P32" s="34"/>
    </row>
    <row r="33" spans="12:16">
      <c r="L33" s="34"/>
      <c r="M33" s="34"/>
      <c r="N33" s="34"/>
      <c r="O33" s="34"/>
      <c r="P33" s="34"/>
    </row>
    <row r="34" spans="12:16">
      <c r="L34" s="34"/>
      <c r="M34" s="34"/>
      <c r="N34" s="34"/>
      <c r="O34" s="34"/>
      <c r="P34" s="34"/>
    </row>
    <row r="37" spans="12:16" s="33" customFormat="1" ht="15" customHeight="1">
      <c r="M37" s="47"/>
    </row>
    <row r="63" spans="7:7" ht="15" customHeight="1">
      <c r="G63" s="1"/>
    </row>
    <row r="67" ht="15" customHeight="1"/>
  </sheetData>
  <hyperlinks>
    <hyperlink ref="H18" r:id="rId1"/>
  </hyperlinks>
  <pageMargins left="0.7" right="0.7" top="0.75" bottom="0.75" header="0.3" footer="0.3"/>
  <pageSetup orientation="portrait" verticalDpi="30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5" name="Button 5">
              <controlPr defaultSize="0" print="0" autoFill="0" autoPict="0" macro="[0]!AddStock">
                <anchor moveWithCells="1" sizeWithCells="1">
                  <from>
                    <xdr:col>0</xdr:col>
                    <xdr:colOff>742950</xdr:colOff>
                    <xdr:row>1</xdr:row>
                    <xdr:rowOff>9525</xdr:rowOff>
                  </from>
                  <to>
                    <xdr:col>1</xdr:col>
                    <xdr:colOff>790575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Button 6">
              <controlPr defaultSize="0" print="0" autoFill="0" autoPict="0" macro="[0]!RefreshStocks">
                <anchor moveWithCells="1" sizeWithCells="1">
                  <from>
                    <xdr:col>0</xdr:col>
                    <xdr:colOff>733425</xdr:colOff>
                    <xdr:row>3</xdr:row>
                    <xdr:rowOff>19050</xdr:rowOff>
                  </from>
                  <to>
                    <xdr:col>1</xdr:col>
                    <xdr:colOff>781050</xdr:colOff>
                    <xdr:row>4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Y41"/>
  <sheetViews>
    <sheetView tabSelected="1" topLeftCell="A19" zoomScaleNormal="100" workbookViewId="0">
      <pane xSplit="5" topLeftCell="F1" activePane="topRight" state="frozen"/>
      <selection pane="topRight" activeCell="I26" sqref="I26"/>
    </sheetView>
  </sheetViews>
  <sheetFormatPr baseColWidth="10" defaultColWidth="9.140625" defaultRowHeight="14.25"/>
  <cols>
    <col min="1" max="1" width="17.28515625" style="16" customWidth="1"/>
    <col min="2" max="2" width="7.140625" style="17" customWidth="1"/>
    <col min="3" max="3" width="14" style="48" customWidth="1"/>
    <col min="4" max="4" width="4" style="48" customWidth="1"/>
    <col min="5" max="5" width="13.140625" style="18" hidden="1" customWidth="1"/>
    <col min="6" max="6" width="3.28515625" style="18" customWidth="1"/>
    <col min="7" max="7" width="27.85546875" style="18" customWidth="1"/>
    <col min="8" max="8" width="11.28515625" style="21" bestFit="1" customWidth="1"/>
    <col min="9" max="9" width="12.7109375" style="18" customWidth="1"/>
    <col min="10" max="11" width="9.140625" style="18" customWidth="1"/>
    <col min="12" max="12" width="38.28515625" style="18" hidden="1" customWidth="1"/>
    <col min="13" max="13" width="2.5703125" style="20" customWidth="1"/>
    <col min="14" max="23" width="9.140625" style="32" customWidth="1"/>
    <col min="24" max="43" width="9.140625" style="18" customWidth="1"/>
    <col min="44" max="16384" width="9.140625" style="18"/>
  </cols>
  <sheetData>
    <row r="1" spans="1:25" s="13" customFormat="1" ht="15" customHeight="1">
      <c r="A1" s="11" t="s">
        <v>21</v>
      </c>
      <c r="B1" s="12" t="s">
        <v>22</v>
      </c>
      <c r="C1" s="49" t="s">
        <v>6</v>
      </c>
      <c r="D1" s="49" t="s">
        <v>23</v>
      </c>
      <c r="H1" s="14"/>
      <c r="M1" s="15"/>
      <c r="N1" s="31"/>
      <c r="O1" s="31"/>
      <c r="P1" s="31"/>
      <c r="Q1" s="31"/>
      <c r="R1" s="31"/>
      <c r="S1" s="31"/>
      <c r="T1" s="31"/>
      <c r="U1" s="31"/>
      <c r="V1" s="31"/>
      <c r="W1" s="31"/>
    </row>
    <row r="2" spans="1:25" s="13" customFormat="1" ht="15" customHeight="1">
      <c r="A2" s="11"/>
      <c r="B2" s="12"/>
      <c r="C2" s="49"/>
      <c r="D2" s="49"/>
      <c r="H2" s="14"/>
      <c r="M2" s="15"/>
      <c r="N2" s="31"/>
      <c r="O2" s="31"/>
      <c r="P2" s="31"/>
      <c r="Q2" s="31"/>
      <c r="R2" s="31"/>
      <c r="S2" s="31"/>
      <c r="T2" s="31"/>
      <c r="U2" s="31"/>
      <c r="V2" s="31"/>
      <c r="W2" s="31"/>
    </row>
    <row r="3" spans="1:25" s="13" customFormat="1" ht="15" customHeight="1">
      <c r="A3" s="37" t="s">
        <v>24</v>
      </c>
      <c r="B3" s="12"/>
      <c r="C3" s="49"/>
      <c r="D3" s="49"/>
      <c r="G3" s="37" t="s">
        <v>25</v>
      </c>
      <c r="H3" s="14"/>
      <c r="M3" s="15"/>
      <c r="N3" s="37" t="s">
        <v>24</v>
      </c>
      <c r="O3" s="31"/>
      <c r="P3" s="31"/>
      <c r="Q3" s="31"/>
      <c r="R3" s="31"/>
      <c r="S3" s="31"/>
      <c r="T3" s="31"/>
      <c r="U3" s="31"/>
      <c r="V3" s="31"/>
      <c r="W3" s="31"/>
    </row>
    <row r="4" spans="1:25" s="13" customFormat="1" ht="15" customHeight="1">
      <c r="A4" s="11"/>
      <c r="B4" s="12"/>
      <c r="C4" s="49"/>
      <c r="D4" s="49"/>
      <c r="H4" s="14"/>
      <c r="M4" s="15"/>
      <c r="N4" s="31"/>
      <c r="O4" s="31"/>
      <c r="P4" s="31"/>
      <c r="Q4" s="31"/>
      <c r="R4" s="31"/>
      <c r="S4" s="31"/>
      <c r="T4" s="31"/>
      <c r="U4" s="31"/>
      <c r="V4" s="31"/>
      <c r="W4" s="31"/>
    </row>
    <row r="5" spans="1:25" ht="15" customHeight="1">
      <c r="A5" s="16">
        <v>45404</v>
      </c>
      <c r="B5" s="50">
        <v>1.7000000000000001E-2</v>
      </c>
      <c r="C5" s="48">
        <v>538.89769999999999</v>
      </c>
      <c r="D5" s="48">
        <v>9.1612609000000003</v>
      </c>
      <c r="G5" s="18" t="s">
        <v>26</v>
      </c>
      <c r="H5" s="19" t="s">
        <v>27</v>
      </c>
      <c r="N5" s="30" t="s">
        <v>28</v>
      </c>
      <c r="O5" s="38"/>
      <c r="P5" s="38"/>
      <c r="Q5" s="38"/>
      <c r="R5" s="38"/>
      <c r="S5" s="38"/>
      <c r="T5" s="38"/>
      <c r="U5" s="38"/>
      <c r="V5" s="38"/>
      <c r="W5" s="38"/>
      <c r="X5" s="38"/>
      <c r="Y5" s="38"/>
    </row>
    <row r="6" spans="1:25" ht="15" customHeight="1">
      <c r="A6" s="16">
        <v>45335</v>
      </c>
      <c r="B6" s="17">
        <v>2</v>
      </c>
      <c r="C6" s="48">
        <v>537.11</v>
      </c>
      <c r="D6" s="48">
        <v>1074.22</v>
      </c>
      <c r="G6" s="18" t="s">
        <v>29</v>
      </c>
      <c r="H6" s="21" t="s">
        <v>14</v>
      </c>
      <c r="N6" s="30" t="s">
        <v>30</v>
      </c>
      <c r="O6" s="38" t="s">
        <v>31</v>
      </c>
      <c r="P6" s="38"/>
      <c r="Q6" s="38"/>
      <c r="R6" s="38"/>
      <c r="S6" s="38"/>
      <c r="T6" s="38"/>
      <c r="U6" s="38"/>
      <c r="V6" s="38"/>
      <c r="W6" s="38"/>
      <c r="X6" s="38"/>
      <c r="Y6" s="38"/>
    </row>
    <row r="7" spans="1:25" ht="15" customHeight="1">
      <c r="A7" s="16">
        <v>45320</v>
      </c>
      <c r="B7" s="17">
        <v>1</v>
      </c>
      <c r="C7" s="48">
        <v>549.30999999999995</v>
      </c>
      <c r="D7" s="48">
        <v>549.30999999999995</v>
      </c>
      <c r="G7" s="18" t="s">
        <v>32</v>
      </c>
      <c r="H7" s="14" t="s">
        <v>15</v>
      </c>
      <c r="N7" s="30" t="s">
        <v>33</v>
      </c>
      <c r="O7" s="38" t="s">
        <v>34</v>
      </c>
      <c r="P7" s="38"/>
      <c r="Q7" s="38"/>
      <c r="R7" s="38"/>
      <c r="S7" s="38"/>
      <c r="T7" s="38" t="s">
        <v>35</v>
      </c>
      <c r="U7" s="38"/>
      <c r="V7" s="38"/>
      <c r="W7" s="38"/>
      <c r="X7" s="38"/>
      <c r="Y7" s="38"/>
    </row>
    <row r="8" spans="1:25" ht="15" customHeight="1">
      <c r="A8" s="16">
        <v>45314</v>
      </c>
      <c r="B8" s="50">
        <v>1.0999999999999999E-2</v>
      </c>
      <c r="C8" s="48">
        <v>550</v>
      </c>
      <c r="D8" s="48">
        <v>6.05</v>
      </c>
      <c r="G8" s="18" t="s">
        <v>36</v>
      </c>
      <c r="H8" s="51">
        <f>SUM(D2:D200)</f>
        <v>6218.1755016999987</v>
      </c>
      <c r="N8" s="30" t="s">
        <v>30</v>
      </c>
      <c r="O8" s="38" t="s">
        <v>37</v>
      </c>
      <c r="P8" s="38"/>
      <c r="Q8" s="38"/>
      <c r="R8" s="38"/>
      <c r="S8" s="38"/>
      <c r="T8" s="38" t="s">
        <v>38</v>
      </c>
      <c r="U8" s="38"/>
      <c r="V8" s="38"/>
      <c r="W8" s="38"/>
      <c r="X8" s="38"/>
      <c r="Y8" s="38"/>
    </row>
    <row r="9" spans="1:25" ht="15" customHeight="1">
      <c r="A9" s="16">
        <v>45310</v>
      </c>
      <c r="B9" s="17">
        <v>1</v>
      </c>
      <c r="C9" s="48">
        <v>543.29999999999995</v>
      </c>
      <c r="D9" s="48">
        <v>543.29999999999995</v>
      </c>
      <c r="N9" s="30" t="s">
        <v>30</v>
      </c>
      <c r="O9" s="38" t="s">
        <v>39</v>
      </c>
      <c r="P9" s="38"/>
      <c r="Q9" s="38"/>
      <c r="R9" s="38"/>
      <c r="S9" s="38"/>
      <c r="T9" s="38"/>
      <c r="U9" s="38"/>
      <c r="V9" s="38"/>
      <c r="W9" s="38"/>
      <c r="X9" s="38"/>
      <c r="Y9" s="38"/>
    </row>
    <row r="10" spans="1:25" ht="15" customHeight="1">
      <c r="A10" s="16">
        <v>45251</v>
      </c>
      <c r="B10" s="17">
        <v>2</v>
      </c>
      <c r="C10" s="48">
        <v>524.52</v>
      </c>
      <c r="D10" s="48">
        <v>1049.04</v>
      </c>
      <c r="N10" s="30" t="s">
        <v>33</v>
      </c>
      <c r="O10" s="38" t="s">
        <v>40</v>
      </c>
      <c r="P10" s="38"/>
      <c r="Q10" s="38"/>
      <c r="R10" s="38"/>
      <c r="S10" s="38"/>
      <c r="T10" s="38"/>
      <c r="U10" s="38"/>
      <c r="V10" s="38"/>
      <c r="W10" s="38"/>
      <c r="X10" s="38"/>
      <c r="Y10" s="38"/>
    </row>
    <row r="11" spans="1:25" ht="15" customHeight="1">
      <c r="A11" s="16">
        <v>45236</v>
      </c>
      <c r="B11" s="17">
        <v>1</v>
      </c>
      <c r="C11" s="48">
        <v>504.66</v>
      </c>
      <c r="D11" s="48">
        <v>504.66</v>
      </c>
      <c r="G11" s="18" t="s">
        <v>41</v>
      </c>
      <c r="H11" s="52">
        <v>550</v>
      </c>
      <c r="N11" s="30" t="s">
        <v>42</v>
      </c>
      <c r="O11" s="38" t="s">
        <v>43</v>
      </c>
      <c r="P11" s="38"/>
      <c r="Q11" s="38"/>
      <c r="R11" s="38"/>
      <c r="S11" s="38"/>
      <c r="T11" s="38" t="s">
        <v>44</v>
      </c>
      <c r="U11" s="38"/>
      <c r="V11" s="38"/>
      <c r="W11" s="38"/>
      <c r="X11" s="38"/>
      <c r="Y11" s="38"/>
    </row>
    <row r="12" spans="1:25" ht="15" customHeight="1">
      <c r="A12" s="16">
        <v>45222</v>
      </c>
      <c r="B12" s="50">
        <v>7.0000000000000001E-3</v>
      </c>
      <c r="C12" s="48">
        <v>482.03440000000001</v>
      </c>
      <c r="D12" s="48">
        <v>3.3742407999999999</v>
      </c>
      <c r="G12" s="18" t="s">
        <v>45</v>
      </c>
      <c r="H12" s="53">
        <f>SUM(D2:D200)/J12</f>
        <v>516.67432502700444</v>
      </c>
      <c r="I12" s="18" t="s">
        <v>46</v>
      </c>
      <c r="J12" s="50">
        <f>SUM(B2:B200)</f>
        <v>12.035</v>
      </c>
      <c r="N12" s="38"/>
      <c r="O12" s="38"/>
      <c r="P12" s="38"/>
      <c r="Q12" s="38"/>
      <c r="R12" s="38"/>
      <c r="S12" s="38"/>
      <c r="T12" s="38"/>
      <c r="U12" s="38"/>
      <c r="V12" s="38"/>
      <c r="W12" s="38"/>
      <c r="X12" s="38"/>
      <c r="Y12" s="38"/>
    </row>
    <row r="13" spans="1:25" ht="15" customHeight="1">
      <c r="A13" s="16">
        <v>45189</v>
      </c>
      <c r="B13" s="17">
        <v>2</v>
      </c>
      <c r="C13" s="48">
        <v>503.18</v>
      </c>
      <c r="D13" s="48">
        <v>1006.36</v>
      </c>
      <c r="G13" s="18" t="s">
        <v>47</v>
      </c>
      <c r="H13" s="54">
        <f>H27/H32</f>
        <v>149.40186915887853</v>
      </c>
      <c r="I13" s="18" t="s">
        <v>48</v>
      </c>
      <c r="N13" s="38"/>
      <c r="O13" s="38"/>
      <c r="P13" s="38"/>
      <c r="Q13" s="38"/>
      <c r="R13" s="38"/>
      <c r="S13" s="38"/>
      <c r="T13" s="38"/>
      <c r="U13" s="38"/>
      <c r="V13" s="38"/>
      <c r="W13" s="38"/>
      <c r="X13" s="38"/>
      <c r="Y13" s="38"/>
    </row>
    <row r="14" spans="1:25">
      <c r="A14" s="16">
        <v>45146</v>
      </c>
      <c r="B14" s="17">
        <v>1</v>
      </c>
      <c r="C14" s="48">
        <v>490</v>
      </c>
      <c r="D14" s="48">
        <v>490</v>
      </c>
      <c r="G14" s="18" t="s">
        <v>49</v>
      </c>
      <c r="H14" s="52">
        <v>400</v>
      </c>
      <c r="I14" s="18" t="s">
        <v>50</v>
      </c>
      <c r="J14" s="55">
        <v>5000</v>
      </c>
      <c r="N14" s="38"/>
      <c r="O14" s="38"/>
      <c r="P14" s="38"/>
      <c r="Q14" s="38"/>
      <c r="R14" s="38"/>
      <c r="S14" s="38"/>
      <c r="T14" s="38"/>
      <c r="U14" s="38"/>
      <c r="V14" s="38"/>
      <c r="W14" s="38"/>
      <c r="X14" s="38"/>
      <c r="Y14" s="38"/>
    </row>
    <row r="15" spans="1:25">
      <c r="A15" s="16">
        <v>45146</v>
      </c>
      <c r="B15" s="17">
        <v>1</v>
      </c>
      <c r="C15" s="48">
        <v>492.7</v>
      </c>
      <c r="D15" s="48">
        <v>492.7</v>
      </c>
      <c r="G15" s="18" t="s">
        <v>51</v>
      </c>
      <c r="N15" s="38"/>
      <c r="O15" s="38"/>
      <c r="P15" s="38"/>
      <c r="Q15" s="38"/>
      <c r="R15" s="38"/>
      <c r="S15" s="38"/>
      <c r="T15" s="38"/>
      <c r="U15" s="38"/>
      <c r="V15" s="38"/>
      <c r="W15" s="38"/>
      <c r="X15" s="38"/>
      <c r="Y15" s="38"/>
    </row>
    <row r="16" spans="1:25">
      <c r="A16" s="16">
        <v>45139</v>
      </c>
      <c r="B16" s="17">
        <v>1</v>
      </c>
      <c r="C16" s="48">
        <v>490</v>
      </c>
      <c r="D16" s="48">
        <v>490</v>
      </c>
      <c r="N16" s="38"/>
      <c r="O16" s="38"/>
      <c r="P16" s="38"/>
      <c r="Q16" s="38"/>
      <c r="R16" s="38"/>
      <c r="S16" s="38"/>
      <c r="T16" s="38"/>
      <c r="U16" s="38"/>
      <c r="V16" s="38"/>
      <c r="W16" s="38"/>
      <c r="X16" s="38"/>
      <c r="Y16" s="38"/>
    </row>
    <row r="17" spans="2:25" ht="15" customHeight="1">
      <c r="N17" s="30" t="s">
        <v>52</v>
      </c>
      <c r="O17" s="38"/>
      <c r="P17" s="38"/>
      <c r="Q17" s="38"/>
      <c r="R17" s="38"/>
      <c r="S17" s="38"/>
      <c r="T17" s="38"/>
      <c r="U17" s="38"/>
      <c r="V17" s="38"/>
      <c r="W17" s="38"/>
      <c r="X17" s="38"/>
      <c r="Y17" s="38"/>
    </row>
    <row r="18" spans="2:25" ht="15" customHeight="1">
      <c r="G18" s="18" t="s">
        <v>53</v>
      </c>
      <c r="H18" s="67">
        <v>1.716</v>
      </c>
      <c r="I18" s="18" t="s">
        <v>54</v>
      </c>
      <c r="J18" s="18" t="s">
        <v>55</v>
      </c>
      <c r="N18" s="30" t="s">
        <v>30</v>
      </c>
      <c r="O18" s="38" t="s">
        <v>56</v>
      </c>
      <c r="P18" s="38"/>
      <c r="Q18" s="56">
        <f>H11</f>
        <v>550</v>
      </c>
      <c r="R18" s="38"/>
      <c r="S18" s="38"/>
      <c r="T18" s="38"/>
      <c r="U18" s="38"/>
      <c r="V18" s="38"/>
      <c r="W18" s="38"/>
      <c r="X18" s="38"/>
      <c r="Y18" s="38"/>
    </row>
    <row r="19" spans="2:25" ht="15" customHeight="1">
      <c r="G19" s="18" t="s">
        <v>57</v>
      </c>
      <c r="H19" s="22">
        <v>2.6440000000000001</v>
      </c>
      <c r="I19" s="18" t="s">
        <v>54</v>
      </c>
      <c r="N19" s="30" t="s">
        <v>42</v>
      </c>
      <c r="O19" s="38" t="s">
        <v>58</v>
      </c>
      <c r="P19" s="38"/>
      <c r="Q19" s="38"/>
      <c r="R19" s="38"/>
      <c r="S19" s="38"/>
      <c r="T19" s="38"/>
      <c r="U19" s="38"/>
      <c r="V19" s="38" t="s">
        <v>59</v>
      </c>
      <c r="W19" s="38"/>
      <c r="X19" s="38"/>
      <c r="Y19" s="38"/>
    </row>
    <row r="20" spans="2:25" ht="15" customHeight="1">
      <c r="G20" s="18" t="s">
        <v>60</v>
      </c>
      <c r="H20" s="22">
        <v>1.4830000000000001</v>
      </c>
      <c r="I20" s="18" t="s">
        <v>54</v>
      </c>
      <c r="N20" s="30" t="s">
        <v>61</v>
      </c>
      <c r="O20" s="38" t="s">
        <v>62</v>
      </c>
      <c r="P20" s="38"/>
      <c r="Q20" s="38"/>
      <c r="R20" s="38"/>
      <c r="S20" s="38"/>
      <c r="T20" s="38"/>
      <c r="U20" s="38"/>
      <c r="V20" s="38"/>
      <c r="W20" s="38"/>
      <c r="X20" s="38"/>
      <c r="Y20" s="38"/>
    </row>
    <row r="21" spans="2:25" ht="15" customHeight="1">
      <c r="G21" s="18" t="s">
        <v>63</v>
      </c>
      <c r="H21" s="57">
        <f>H20/H18</f>
        <v>0.86421911421911424</v>
      </c>
      <c r="I21" s="18" t="s">
        <v>64</v>
      </c>
      <c r="N21" s="30" t="s">
        <v>42</v>
      </c>
      <c r="O21" s="38" t="s">
        <v>65</v>
      </c>
      <c r="P21" s="38"/>
      <c r="Q21" s="38"/>
      <c r="R21" s="38"/>
      <c r="S21" s="38"/>
      <c r="T21" s="38"/>
      <c r="U21" s="38"/>
      <c r="V21" s="38" t="s">
        <v>66</v>
      </c>
      <c r="W21" s="38"/>
      <c r="X21" s="38"/>
      <c r="Y21" s="38"/>
    </row>
    <row r="22" spans="2:25" ht="15" customHeight="1">
      <c r="G22" s="18" t="s">
        <v>67</v>
      </c>
      <c r="N22" s="30" t="s">
        <v>42</v>
      </c>
      <c r="O22" s="38" t="s">
        <v>68</v>
      </c>
      <c r="P22" s="38"/>
      <c r="Q22" s="38"/>
      <c r="R22" s="38"/>
      <c r="S22" s="38"/>
      <c r="T22" s="38"/>
      <c r="U22" s="38"/>
      <c r="V22" s="38"/>
      <c r="W22" s="38"/>
      <c r="X22" s="38"/>
      <c r="Y22" s="38"/>
    </row>
    <row r="23" spans="2:25" ht="15" customHeight="1">
      <c r="B23" s="58"/>
      <c r="G23" s="18" t="s">
        <v>69</v>
      </c>
      <c r="H23" s="23">
        <f>H11/J23</f>
        <v>39.683074848280505</v>
      </c>
      <c r="I23" s="18" t="s">
        <v>67</v>
      </c>
      <c r="J23" s="18">
        <f>H20/H32</f>
        <v>13.859813084112151</v>
      </c>
      <c r="N23" s="30" t="s">
        <v>42</v>
      </c>
      <c r="O23" s="38" t="s">
        <v>70</v>
      </c>
      <c r="P23" s="38"/>
      <c r="Q23" s="38"/>
      <c r="R23" s="38"/>
      <c r="S23" s="38"/>
      <c r="T23" s="38"/>
      <c r="U23" s="38"/>
      <c r="V23" s="38"/>
      <c r="W23" s="38"/>
      <c r="X23" s="38"/>
      <c r="Y23" s="38"/>
    </row>
    <row r="24" spans="2:25" ht="15" customHeight="1">
      <c r="N24" s="30" t="s">
        <v>42</v>
      </c>
      <c r="O24" s="38" t="s">
        <v>71</v>
      </c>
      <c r="P24" s="38"/>
      <c r="Q24" s="38"/>
      <c r="R24" s="38"/>
      <c r="S24" s="38"/>
      <c r="T24" s="38"/>
      <c r="U24" s="38"/>
      <c r="V24" s="38" t="s">
        <v>72</v>
      </c>
      <c r="W24" s="38"/>
      <c r="X24" s="38"/>
      <c r="Y24" s="38"/>
    </row>
    <row r="25" spans="2:25" ht="15" customHeight="1">
      <c r="G25" s="18" t="s">
        <v>73</v>
      </c>
      <c r="H25" s="22">
        <v>28.167000000000002</v>
      </c>
      <c r="I25" s="18" t="s">
        <v>74</v>
      </c>
      <c r="N25" s="30" t="s">
        <v>30</v>
      </c>
      <c r="O25" s="38" t="s">
        <v>75</v>
      </c>
      <c r="P25" s="38"/>
      <c r="Q25" s="38"/>
      <c r="R25" s="38"/>
      <c r="S25" s="38"/>
      <c r="T25" s="38"/>
      <c r="U25" s="38"/>
      <c r="V25" s="38"/>
      <c r="W25" s="38"/>
      <c r="X25" s="38"/>
      <c r="Y25" s="38"/>
    </row>
    <row r="26" spans="2:25">
      <c r="G26" s="18" t="s">
        <v>76</v>
      </c>
      <c r="H26" s="22">
        <v>12.180999999999999</v>
      </c>
      <c r="I26" s="18" t="s">
        <v>74</v>
      </c>
      <c r="N26" s="38"/>
      <c r="O26" s="38"/>
      <c r="P26" s="38"/>
      <c r="Q26" s="38"/>
      <c r="R26" s="38"/>
      <c r="S26" s="38"/>
      <c r="T26" s="38"/>
      <c r="U26" s="38"/>
      <c r="V26" s="38"/>
      <c r="W26" s="38"/>
      <c r="X26" s="38"/>
      <c r="Y26" s="38"/>
    </row>
    <row r="27" spans="2:25">
      <c r="G27" s="18" t="s">
        <v>77</v>
      </c>
      <c r="H27" s="21">
        <f>H25-H26</f>
        <v>15.986000000000002</v>
      </c>
      <c r="I27" s="18" t="s">
        <v>74</v>
      </c>
    </row>
    <row r="28" spans="2:25">
      <c r="G28" s="18" t="s">
        <v>78</v>
      </c>
      <c r="H28" s="24">
        <f>H25/H26</f>
        <v>2.3123717264592401</v>
      </c>
      <c r="I28" s="18" t="s">
        <v>79</v>
      </c>
    </row>
    <row r="29" spans="2:25">
      <c r="G29" s="18" t="s">
        <v>80</v>
      </c>
      <c r="H29" s="59">
        <f>H26/H27</f>
        <v>0.76197923182784921</v>
      </c>
      <c r="I29" s="18" t="s">
        <v>81</v>
      </c>
    </row>
    <row r="30" spans="2:25">
      <c r="H30" s="18"/>
    </row>
    <row r="31" spans="2:25">
      <c r="G31" s="18" t="s">
        <v>82</v>
      </c>
      <c r="H31" s="21">
        <v>60.021999999999998</v>
      </c>
      <c r="I31" s="18" t="s">
        <v>74</v>
      </c>
    </row>
    <row r="32" spans="2:25">
      <c r="G32" s="18" t="s">
        <v>46</v>
      </c>
      <c r="H32" s="22">
        <v>0.107</v>
      </c>
      <c r="I32" s="18" t="s">
        <v>74</v>
      </c>
    </row>
    <row r="33" spans="7:8">
      <c r="G33" s="18" t="s">
        <v>83</v>
      </c>
      <c r="H33" s="57">
        <v>0</v>
      </c>
    </row>
    <row r="34" spans="7:8">
      <c r="G34" s="18" t="s">
        <v>84</v>
      </c>
    </row>
    <row r="36" spans="7:8">
      <c r="G36" s="37" t="s">
        <v>85</v>
      </c>
    </row>
    <row r="37" spans="7:8">
      <c r="G37" s="37" t="s">
        <v>86</v>
      </c>
    </row>
    <row r="39" spans="7:8">
      <c r="G39" s="44" t="s">
        <v>87</v>
      </c>
    </row>
    <row r="40" spans="7:8">
      <c r="G40" s="44" t="s">
        <v>88</v>
      </c>
    </row>
    <row r="41" spans="7:8">
      <c r="G41" s="44" t="s">
        <v>89</v>
      </c>
    </row>
  </sheetData>
  <conditionalFormatting sqref="N6:N11">
    <cfRule type="cellIs" dxfId="11" priority="1" operator="equal">
      <formula>"Maybe"</formula>
    </cfRule>
    <cfRule type="cellIs" dxfId="10" priority="5" operator="equal">
      <formula>"No"</formula>
    </cfRule>
    <cfRule type="cellIs" dxfId="9" priority="6" operator="equal">
      <formula>"Yes"</formula>
    </cfRule>
  </conditionalFormatting>
  <conditionalFormatting sqref="N18:N25">
    <cfRule type="cellIs" dxfId="8" priority="2" operator="equal">
      <formula>"Maybe"</formula>
    </cfRule>
    <cfRule type="cellIs" dxfId="7" priority="3" operator="equal">
      <formula>"Yes"</formula>
    </cfRule>
    <cfRule type="cellIs" dxfId="6" priority="4" operator="equal">
      <formula>"No"</formula>
    </cfRule>
  </conditionalFormatting>
  <pageMargins left="0.7" right="0.7" top="0.75" bottom="0.75" header="0.3" footer="0.3"/>
  <pageSetup orientation="portrait" horizontalDpi="4294967293" verticalDpi="429496729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T86"/>
  <sheetViews>
    <sheetView workbookViewId="0">
      <pane xSplit="5" topLeftCell="F1" activePane="topRight" state="frozen"/>
      <selection pane="topRight" activeCell="G12" sqref="G12"/>
    </sheetView>
  </sheetViews>
  <sheetFormatPr baseColWidth="10" defaultColWidth="9.140625" defaultRowHeight="14.25"/>
  <cols>
    <col min="1" max="1" width="17.28515625" style="16" customWidth="1"/>
    <col min="2" max="2" width="7.140625" style="17" customWidth="1"/>
    <col min="3" max="3" width="15.7109375" style="48" customWidth="1"/>
    <col min="4" max="4" width="12.28515625" style="48" customWidth="1"/>
    <col min="5" max="5" width="6" style="18" customWidth="1"/>
    <col min="6" max="6" width="3.28515625" style="18" customWidth="1"/>
    <col min="7" max="7" width="27.85546875" style="18" customWidth="1"/>
    <col min="8" max="8" width="11.28515625" style="21" bestFit="1" customWidth="1"/>
    <col min="9" max="9" width="11.5703125" style="18" customWidth="1"/>
    <col min="10" max="12" width="9.140625" style="18" customWidth="1"/>
    <col min="13" max="13" width="2.5703125" style="20" customWidth="1"/>
    <col min="14" max="14" width="9.140625" style="18" customWidth="1"/>
    <col min="15" max="15" width="11.28515625" style="18" bestFit="1" customWidth="1"/>
    <col min="16" max="35" width="9.140625" style="18" customWidth="1"/>
    <col min="36" max="16384" width="9.140625" style="18"/>
  </cols>
  <sheetData>
    <row r="1" spans="1:20" s="13" customFormat="1" ht="15" customHeight="1">
      <c r="A1" s="11" t="s">
        <v>21</v>
      </c>
      <c r="B1" s="12" t="s">
        <v>22</v>
      </c>
      <c r="C1" s="49" t="s">
        <v>6</v>
      </c>
      <c r="D1" s="49" t="s">
        <v>23</v>
      </c>
      <c r="H1" s="14"/>
      <c r="M1" s="15"/>
    </row>
    <row r="2" spans="1:20" s="13" customFormat="1" ht="15" customHeight="1">
      <c r="A2" s="11"/>
      <c r="B2" s="12"/>
      <c r="C2" s="49"/>
      <c r="D2" s="49"/>
      <c r="H2" s="14"/>
      <c r="M2" s="15"/>
    </row>
    <row r="3" spans="1:20" s="13" customFormat="1" ht="15" customHeight="1">
      <c r="A3" s="37" t="s">
        <v>24</v>
      </c>
      <c r="B3" s="12"/>
      <c r="C3" s="49"/>
      <c r="D3" s="49"/>
      <c r="G3" s="37" t="s">
        <v>25</v>
      </c>
      <c r="H3" s="14"/>
      <c r="M3" s="15"/>
      <c r="N3" s="37" t="s">
        <v>24</v>
      </c>
      <c r="O3" s="31"/>
    </row>
    <row r="4" spans="1:20" s="13" customFormat="1" ht="15" customHeight="1">
      <c r="A4" s="11"/>
      <c r="B4" s="12"/>
      <c r="C4" s="49"/>
      <c r="D4" s="49"/>
      <c r="H4" s="14"/>
      <c r="M4" s="15"/>
    </row>
    <row r="5" spans="1:20" ht="15" customHeight="1">
      <c r="A5" s="8">
        <v>45328</v>
      </c>
      <c r="B5" s="9">
        <v>23</v>
      </c>
      <c r="C5" s="60">
        <v>45</v>
      </c>
      <c r="D5" s="60">
        <f>B5*C5</f>
        <v>1035</v>
      </c>
      <c r="G5" s="18" t="s">
        <v>26</v>
      </c>
      <c r="H5" s="19">
        <v>45473</v>
      </c>
      <c r="N5" s="29" t="s">
        <v>28</v>
      </c>
      <c r="P5" s="6"/>
      <c r="Q5" s="6"/>
      <c r="R5" s="6"/>
      <c r="S5" s="6"/>
      <c r="T5" s="6"/>
    </row>
    <row r="6" spans="1:20" ht="15" customHeight="1">
      <c r="A6" s="8">
        <v>45310</v>
      </c>
      <c r="B6" s="9">
        <v>17</v>
      </c>
      <c r="C6" s="60">
        <v>70</v>
      </c>
      <c r="D6" s="60">
        <f>B6*C6</f>
        <v>1190</v>
      </c>
      <c r="G6" s="18" t="s">
        <v>29</v>
      </c>
      <c r="H6" s="21" t="s">
        <v>90</v>
      </c>
      <c r="J6" s="18" t="s">
        <v>91</v>
      </c>
      <c r="N6" s="7" t="s">
        <v>30</v>
      </c>
      <c r="O6" s="18" t="s">
        <v>31</v>
      </c>
      <c r="P6" s="6"/>
      <c r="Q6" s="6"/>
      <c r="R6" s="6"/>
      <c r="S6" s="6"/>
      <c r="T6" s="6"/>
    </row>
    <row r="7" spans="1:20" ht="15" customHeight="1">
      <c r="G7" s="18" t="s">
        <v>32</v>
      </c>
      <c r="H7" s="14" t="s">
        <v>17</v>
      </c>
      <c r="N7" s="7" t="s">
        <v>30</v>
      </c>
      <c r="O7" s="18" t="s">
        <v>34</v>
      </c>
      <c r="P7" s="6"/>
      <c r="Q7" s="6"/>
      <c r="R7" s="6"/>
      <c r="S7" s="6"/>
      <c r="T7" s="6"/>
    </row>
    <row r="8" spans="1:20" ht="15" customHeight="1">
      <c r="G8" s="18" t="s">
        <v>36</v>
      </c>
      <c r="H8" s="61">
        <f>SUM(D2:D217)</f>
        <v>2225</v>
      </c>
      <c r="N8" s="7" t="s">
        <v>30</v>
      </c>
      <c r="O8" s="18" t="s">
        <v>37</v>
      </c>
      <c r="P8" s="6"/>
      <c r="Q8" s="6"/>
      <c r="R8" s="6"/>
      <c r="S8" s="6"/>
      <c r="T8" s="6"/>
    </row>
    <row r="9" spans="1:20" ht="15" customHeight="1">
      <c r="N9" s="7" t="s">
        <v>30</v>
      </c>
      <c r="O9" s="18" t="s">
        <v>39</v>
      </c>
      <c r="P9" s="6"/>
      <c r="Q9" s="6"/>
      <c r="R9" s="6"/>
      <c r="S9" s="6"/>
      <c r="T9" s="6"/>
    </row>
    <row r="10" spans="1:20" ht="15" customHeight="1">
      <c r="N10" s="7" t="s">
        <v>33</v>
      </c>
      <c r="O10" s="18" t="s">
        <v>40</v>
      </c>
      <c r="P10" s="6"/>
      <c r="Q10" s="6"/>
      <c r="R10" s="6"/>
      <c r="S10" s="6"/>
      <c r="T10" s="6"/>
    </row>
    <row r="11" spans="1:20" ht="15" customHeight="1">
      <c r="G11" s="18" t="s">
        <v>41</v>
      </c>
      <c r="H11" s="52">
        <v>52.01</v>
      </c>
      <c r="N11" s="7" t="s">
        <v>42</v>
      </c>
      <c r="O11" s="18" t="s">
        <v>43</v>
      </c>
      <c r="P11" s="6"/>
      <c r="Q11" s="6"/>
      <c r="R11" s="6"/>
      <c r="S11" s="6" t="s">
        <v>44</v>
      </c>
      <c r="T11" s="6"/>
    </row>
    <row r="12" spans="1:20" ht="15" customHeight="1">
      <c r="G12" s="18" t="s">
        <v>45</v>
      </c>
      <c r="H12" s="53">
        <f>SUM(D2:D217)/K12</f>
        <v>55.625</v>
      </c>
      <c r="I12" s="18" t="s">
        <v>46</v>
      </c>
      <c r="K12" s="17">
        <f>SUM(B2:B217)</f>
        <v>40</v>
      </c>
      <c r="N12" s="6"/>
      <c r="P12" s="6"/>
      <c r="Q12" s="6"/>
      <c r="R12" s="6"/>
      <c r="S12" s="6"/>
      <c r="T12" s="6"/>
    </row>
    <row r="13" spans="1:20">
      <c r="G13" s="18" t="s">
        <v>47</v>
      </c>
      <c r="H13" s="52">
        <f>((H25-H26)/H32)</f>
        <v>23.313492063492056</v>
      </c>
      <c r="I13" s="18" t="s">
        <v>92</v>
      </c>
      <c r="K13" s="26">
        <f>H11/H13</f>
        <v>2.2308970212765962</v>
      </c>
      <c r="N13" s="6"/>
      <c r="P13" s="6"/>
      <c r="Q13" s="6"/>
      <c r="R13" s="6"/>
      <c r="S13" s="6"/>
      <c r="T13" s="6"/>
    </row>
    <row r="14" spans="1:20">
      <c r="G14" s="18" t="s">
        <v>49</v>
      </c>
      <c r="H14" s="52">
        <v>35</v>
      </c>
      <c r="I14" s="18" t="s">
        <v>50</v>
      </c>
      <c r="K14" s="55">
        <v>5000</v>
      </c>
      <c r="N14" s="6"/>
      <c r="P14" s="6"/>
      <c r="Q14" s="6"/>
      <c r="R14" s="6"/>
      <c r="S14" s="6"/>
      <c r="T14" s="6"/>
    </row>
    <row r="15" spans="1:20" ht="15" customHeight="1">
      <c r="G15" s="18" t="s">
        <v>51</v>
      </c>
      <c r="H15" s="53">
        <f>H34/H32</f>
        <v>5.8258928571428577</v>
      </c>
      <c r="K15" s="55"/>
      <c r="N15" s="6"/>
      <c r="P15" s="6"/>
      <c r="Q15" s="6"/>
      <c r="R15" s="6"/>
      <c r="S15" s="6"/>
      <c r="T15" s="6"/>
    </row>
    <row r="16" spans="1:20">
      <c r="N16" s="6"/>
      <c r="P16" s="6"/>
      <c r="Q16" s="6"/>
      <c r="R16" s="6"/>
      <c r="S16" s="6"/>
      <c r="T16" s="6"/>
    </row>
    <row r="17" spans="7:20">
      <c r="H17" s="21" t="s">
        <v>93</v>
      </c>
      <c r="I17" s="18" t="s">
        <v>94</v>
      </c>
      <c r="N17" s="6"/>
      <c r="P17" s="6"/>
      <c r="Q17" s="6"/>
      <c r="R17" s="6"/>
      <c r="S17" s="6"/>
      <c r="T17" s="6"/>
    </row>
    <row r="18" spans="7:20">
      <c r="G18" s="18" t="s">
        <v>53</v>
      </c>
      <c r="H18" s="62">
        <v>445</v>
      </c>
      <c r="I18" s="63"/>
      <c r="J18" s="18" t="s">
        <v>95</v>
      </c>
      <c r="N18" s="6"/>
      <c r="P18" s="6"/>
      <c r="Q18" s="6"/>
      <c r="R18" s="6"/>
      <c r="S18" s="6"/>
      <c r="T18" s="6"/>
    </row>
    <row r="19" spans="7:20" ht="15" customHeight="1">
      <c r="G19" s="18" t="s">
        <v>57</v>
      </c>
      <c r="H19" s="62">
        <v>0.36599999999999999</v>
      </c>
      <c r="I19" s="63"/>
      <c r="J19" s="18" t="s">
        <v>95</v>
      </c>
      <c r="N19" s="29" t="s">
        <v>52</v>
      </c>
      <c r="P19" s="6"/>
      <c r="Q19" s="6"/>
      <c r="R19" s="6"/>
      <c r="S19" s="6"/>
      <c r="T19" s="6"/>
    </row>
    <row r="20" spans="7:20" ht="15" customHeight="1">
      <c r="G20" s="18" t="s">
        <v>60</v>
      </c>
      <c r="H20" s="62">
        <v>6.8809999999999996E-2</v>
      </c>
      <c r="I20" s="63"/>
      <c r="J20" s="18" t="s">
        <v>95</v>
      </c>
      <c r="N20" s="7" t="s">
        <v>30</v>
      </c>
      <c r="O20" s="18" t="s">
        <v>56</v>
      </c>
      <c r="P20" s="6"/>
      <c r="Q20" s="60">
        <f>H11</f>
        <v>52.01</v>
      </c>
      <c r="R20" s="6"/>
      <c r="S20" s="6"/>
      <c r="T20" s="6"/>
    </row>
    <row r="21" spans="7:20" ht="15" customHeight="1">
      <c r="G21" s="18" t="s">
        <v>96</v>
      </c>
      <c r="H21" s="57">
        <f>H20/H18</f>
        <v>1.5462921348314605E-4</v>
      </c>
      <c r="I21" s="64"/>
      <c r="J21" s="27" t="s">
        <v>97</v>
      </c>
      <c r="N21" s="7" t="s">
        <v>42</v>
      </c>
      <c r="O21" s="18" t="s">
        <v>58</v>
      </c>
      <c r="P21" s="6"/>
      <c r="Q21" s="6"/>
      <c r="R21" s="6"/>
      <c r="S21" s="6"/>
      <c r="T21" s="6" t="s">
        <v>98</v>
      </c>
    </row>
    <row r="22" spans="7:20" ht="15" customHeight="1">
      <c r="G22" s="22" t="s">
        <v>67</v>
      </c>
      <c r="H22" s="25">
        <f>H20/H$32</f>
        <v>4.2664930555555554</v>
      </c>
      <c r="I22" s="28"/>
      <c r="N22" s="7" t="s">
        <v>42</v>
      </c>
      <c r="O22" s="18" t="s">
        <v>62</v>
      </c>
      <c r="P22" s="6"/>
      <c r="Q22" s="6"/>
      <c r="R22" s="6"/>
      <c r="S22" s="6"/>
      <c r="T22" s="6"/>
    </row>
    <row r="23" spans="7:20" ht="15" customHeight="1">
      <c r="G23" s="18" t="s">
        <v>69</v>
      </c>
      <c r="H23" s="23">
        <f>H11/H22</f>
        <v>12.190339776195321</v>
      </c>
      <c r="I23" s="23">
        <v>14.41</v>
      </c>
      <c r="J23" s="27"/>
      <c r="K23" s="26"/>
      <c r="N23" s="7"/>
      <c r="P23" s="6"/>
      <c r="Q23" s="6"/>
      <c r="R23" s="6"/>
      <c r="S23" s="6"/>
      <c r="T23" s="6"/>
    </row>
    <row r="24" spans="7:20" ht="15" customHeight="1">
      <c r="H24" s="18"/>
      <c r="N24" s="7" t="s">
        <v>42</v>
      </c>
      <c r="O24" s="18" t="s">
        <v>65</v>
      </c>
      <c r="P24" s="6"/>
      <c r="Q24" s="6"/>
      <c r="R24" s="6"/>
      <c r="S24" s="6"/>
      <c r="T24" s="6"/>
    </row>
    <row r="25" spans="7:20" ht="15" customHeight="1">
      <c r="G25" s="18" t="s">
        <v>73</v>
      </c>
      <c r="H25" s="25">
        <v>1.1839999999999999</v>
      </c>
      <c r="I25" s="18" t="s">
        <v>95</v>
      </c>
      <c r="N25" s="7" t="s">
        <v>33</v>
      </c>
      <c r="O25" s="18" t="s">
        <v>68</v>
      </c>
      <c r="P25" s="6"/>
      <c r="Q25" s="6"/>
      <c r="R25" s="6"/>
      <c r="S25" s="6"/>
      <c r="T25" s="6"/>
    </row>
    <row r="26" spans="7:20" ht="15" customHeight="1">
      <c r="G26" s="18" t="s">
        <v>76</v>
      </c>
      <c r="H26" s="25">
        <v>0.80800000000000005</v>
      </c>
      <c r="I26" s="18" t="s">
        <v>95</v>
      </c>
      <c r="N26" s="7" t="s">
        <v>33</v>
      </c>
      <c r="O26" s="18" t="s">
        <v>70</v>
      </c>
      <c r="P26" s="6"/>
      <c r="Q26" s="6"/>
      <c r="R26" s="6"/>
      <c r="S26" s="6"/>
      <c r="T26" s="6"/>
    </row>
    <row r="27" spans="7:20" ht="15" customHeight="1">
      <c r="G27" s="18" t="s">
        <v>99</v>
      </c>
      <c r="H27" s="25">
        <f>H25-H26</f>
        <v>0.37599999999999989</v>
      </c>
      <c r="I27" s="18" t="s">
        <v>95</v>
      </c>
      <c r="N27" s="7" t="s">
        <v>42</v>
      </c>
      <c r="O27" s="18" t="s">
        <v>71</v>
      </c>
      <c r="P27" s="6"/>
      <c r="Q27" s="6"/>
      <c r="R27" s="6"/>
      <c r="S27" s="6"/>
      <c r="T27" s="6"/>
    </row>
    <row r="28" spans="7:20" ht="15" customHeight="1">
      <c r="G28" s="18" t="s">
        <v>78</v>
      </c>
      <c r="H28" s="24">
        <f>H25/H26</f>
        <v>1.4653465346534651</v>
      </c>
      <c r="I28" s="18" t="s">
        <v>79</v>
      </c>
      <c r="N28" s="7" t="s">
        <v>42</v>
      </c>
      <c r="O28" s="18" t="s">
        <v>75</v>
      </c>
      <c r="P28" s="6"/>
      <c r="Q28" s="6"/>
      <c r="R28" s="6"/>
      <c r="S28" s="6"/>
      <c r="T28" s="6"/>
    </row>
    <row r="29" spans="7:20">
      <c r="G29" s="18" t="s">
        <v>80</v>
      </c>
      <c r="H29" s="10">
        <f>H26/H27</f>
        <v>2.1489361702127665</v>
      </c>
      <c r="I29" s="18" t="s">
        <v>100</v>
      </c>
      <c r="N29" s="6"/>
      <c r="P29" s="6"/>
      <c r="Q29" s="6"/>
      <c r="R29" s="6"/>
      <c r="S29" s="6"/>
      <c r="T29" s="6"/>
    </row>
    <row r="31" spans="7:20">
      <c r="G31" s="18" t="s">
        <v>82</v>
      </c>
      <c r="H31" s="65">
        <v>0.82843</v>
      </c>
      <c r="I31" s="18" t="s">
        <v>95</v>
      </c>
    </row>
    <row r="32" spans="7:20">
      <c r="G32" s="18" t="s">
        <v>46</v>
      </c>
      <c r="H32" s="62">
        <v>1.6128E-2</v>
      </c>
      <c r="I32" s="18" t="s">
        <v>95</v>
      </c>
    </row>
    <row r="33" spans="7:17">
      <c r="G33" s="18" t="s">
        <v>83</v>
      </c>
      <c r="H33" s="57">
        <v>0</v>
      </c>
      <c r="O33" s="66"/>
    </row>
    <row r="34" spans="7:17">
      <c r="G34" s="18" t="s">
        <v>84</v>
      </c>
      <c r="H34" s="21">
        <v>9.3960000000000002E-2</v>
      </c>
      <c r="I34" s="18" t="s">
        <v>95</v>
      </c>
    </row>
    <row r="36" spans="7:17">
      <c r="G36" s="37" t="s">
        <v>85</v>
      </c>
      <c r="H36" s="18"/>
    </row>
    <row r="37" spans="7:17">
      <c r="G37" s="37" t="s">
        <v>86</v>
      </c>
    </row>
    <row r="39" spans="7:17">
      <c r="G39" s="44" t="s">
        <v>87</v>
      </c>
    </row>
    <row r="40" spans="7:17">
      <c r="G40" s="44" t="s">
        <v>88</v>
      </c>
    </row>
    <row r="41" spans="7:17">
      <c r="G41" s="44" t="s">
        <v>89</v>
      </c>
    </row>
    <row r="43" spans="7:17">
      <c r="G43" s="18" t="s">
        <v>101</v>
      </c>
    </row>
    <row r="45" spans="7:17">
      <c r="G45" s="3" t="s">
        <v>102</v>
      </c>
      <c r="H45" s="4"/>
      <c r="I45" s="3"/>
      <c r="J45" s="3"/>
      <c r="K45" s="3"/>
      <c r="L45" s="3"/>
      <c r="M45" s="5"/>
      <c r="N45" s="3"/>
      <c r="P45" s="3"/>
      <c r="Q45" s="3"/>
    </row>
    <row r="46" spans="7:17">
      <c r="G46" s="3"/>
      <c r="H46" s="4"/>
      <c r="I46" s="3"/>
      <c r="J46" s="3"/>
      <c r="K46" s="3"/>
      <c r="L46" s="3"/>
      <c r="M46" s="5"/>
      <c r="N46" s="3"/>
      <c r="P46" s="3"/>
      <c r="Q46" s="3"/>
    </row>
    <row r="47" spans="7:17" ht="15" customHeight="1">
      <c r="G47" t="s">
        <v>103</v>
      </c>
      <c r="H47" s="4"/>
      <c r="I47" s="3"/>
      <c r="J47" s="3"/>
      <c r="K47" s="3"/>
      <c r="L47" s="3"/>
      <c r="M47" s="5"/>
      <c r="N47" s="3"/>
      <c r="P47" s="3"/>
      <c r="Q47" s="3"/>
    </row>
    <row r="48" spans="7:17" ht="15" customHeight="1">
      <c r="G48" t="s">
        <v>104</v>
      </c>
      <c r="H48" s="4"/>
      <c r="I48" s="3"/>
      <c r="J48" s="3"/>
      <c r="K48" s="3"/>
      <c r="L48" s="3"/>
      <c r="M48" s="5"/>
      <c r="N48" s="3"/>
      <c r="P48" s="3"/>
      <c r="Q48" s="3"/>
    </row>
    <row r="49" spans="7:17" ht="15" customHeight="1">
      <c r="G49" t="s">
        <v>105</v>
      </c>
      <c r="H49" s="4"/>
      <c r="I49" s="3"/>
      <c r="J49" s="3"/>
      <c r="K49" s="3"/>
      <c r="L49" s="3"/>
      <c r="M49" s="5"/>
      <c r="N49" s="3"/>
      <c r="P49" s="3"/>
      <c r="Q49" s="3"/>
    </row>
    <row r="50" spans="7:17" ht="15" customHeight="1">
      <c r="G50" t="s">
        <v>106</v>
      </c>
      <c r="H50" s="4"/>
      <c r="I50" s="3"/>
      <c r="J50" s="3"/>
      <c r="K50" s="3"/>
      <c r="L50" s="3"/>
      <c r="M50" s="5"/>
      <c r="N50" s="3"/>
      <c r="P50" s="3"/>
      <c r="Q50" s="3"/>
    </row>
    <row r="51" spans="7:17" ht="15" customHeight="1">
      <c r="G51" t="s">
        <v>107</v>
      </c>
      <c r="H51" s="4"/>
      <c r="I51" s="3"/>
      <c r="J51" s="3"/>
      <c r="K51" s="3"/>
      <c r="L51" s="3"/>
      <c r="M51" s="5"/>
      <c r="N51" s="3"/>
      <c r="P51" s="3"/>
      <c r="Q51" s="3"/>
    </row>
    <row r="52" spans="7:17" ht="15" customHeight="1">
      <c r="G52" t="s">
        <v>108</v>
      </c>
      <c r="H52" s="4"/>
      <c r="I52" s="3"/>
      <c r="J52" s="3"/>
      <c r="K52" s="3"/>
      <c r="L52" s="3"/>
      <c r="M52" s="5"/>
      <c r="N52" s="3"/>
      <c r="P52" s="3"/>
      <c r="Q52" s="3"/>
    </row>
    <row r="53" spans="7:17" ht="15" customHeight="1">
      <c r="G53" t="s">
        <v>109</v>
      </c>
      <c r="H53" s="4"/>
      <c r="I53" s="3"/>
      <c r="J53" s="3"/>
      <c r="K53" s="3"/>
      <c r="L53" s="3"/>
      <c r="M53" s="5"/>
      <c r="N53" s="3"/>
      <c r="P53" s="3"/>
      <c r="Q53" s="3"/>
    </row>
    <row r="54" spans="7:17">
      <c r="G54" s="3" t="s">
        <v>110</v>
      </c>
      <c r="H54" s="4"/>
      <c r="I54" s="3"/>
      <c r="J54" s="3"/>
      <c r="K54" s="3"/>
      <c r="L54" s="3"/>
      <c r="M54" s="5"/>
      <c r="N54" s="3"/>
      <c r="P54" s="3"/>
      <c r="Q54" s="3"/>
    </row>
    <row r="55" spans="7:17">
      <c r="G55" s="3" t="s">
        <v>111</v>
      </c>
      <c r="H55" s="4"/>
      <c r="I55" s="3"/>
      <c r="J55" s="3"/>
      <c r="K55" s="3"/>
      <c r="L55" s="3"/>
      <c r="M55" s="5"/>
      <c r="N55" s="3"/>
      <c r="P55" s="3"/>
      <c r="Q55" s="3"/>
    </row>
    <row r="56" spans="7:17">
      <c r="G56" s="3"/>
      <c r="H56" s="4"/>
      <c r="I56" s="3"/>
      <c r="J56" s="3"/>
      <c r="K56" s="3"/>
      <c r="L56" s="3"/>
      <c r="M56" s="5"/>
      <c r="N56" s="3"/>
      <c r="P56" s="3"/>
      <c r="Q56" s="3"/>
    </row>
    <row r="57" spans="7:17">
      <c r="G57" s="3"/>
      <c r="H57" s="4"/>
      <c r="I57" s="3"/>
      <c r="J57" s="3"/>
      <c r="K57" s="3"/>
      <c r="L57" s="3"/>
      <c r="M57" s="5"/>
      <c r="N57" s="3"/>
      <c r="P57" s="3"/>
      <c r="Q57" s="3"/>
    </row>
    <row r="58" spans="7:17">
      <c r="G58" s="3"/>
      <c r="H58" s="4"/>
      <c r="I58" s="3"/>
      <c r="J58" s="3"/>
      <c r="K58" s="3"/>
      <c r="L58" s="3"/>
      <c r="M58" s="5"/>
      <c r="N58" s="3"/>
      <c r="P58" s="3"/>
      <c r="Q58" s="3"/>
    </row>
    <row r="59" spans="7:17">
      <c r="G59" s="3"/>
      <c r="H59" s="4"/>
      <c r="I59" s="3"/>
      <c r="J59" s="3"/>
      <c r="K59" s="3"/>
      <c r="L59" s="3"/>
      <c r="M59" s="5"/>
      <c r="N59" s="3"/>
      <c r="P59" s="3"/>
      <c r="Q59" s="3"/>
    </row>
    <row r="60" spans="7:17">
      <c r="G60" s="3"/>
      <c r="H60" s="4"/>
      <c r="I60" s="3"/>
      <c r="J60" s="3"/>
      <c r="K60" s="3"/>
      <c r="L60" s="3"/>
      <c r="M60" s="5"/>
      <c r="N60" s="3"/>
      <c r="P60" s="3"/>
      <c r="Q60" s="3"/>
    </row>
    <row r="61" spans="7:17">
      <c r="G61" s="3"/>
      <c r="H61" s="4"/>
      <c r="I61" s="3"/>
      <c r="J61" s="3"/>
      <c r="K61" s="3"/>
      <c r="L61" s="3"/>
      <c r="M61" s="5"/>
      <c r="N61" s="3"/>
      <c r="P61" s="3"/>
      <c r="Q61" s="3"/>
    </row>
    <row r="62" spans="7:17">
      <c r="G62" s="3"/>
      <c r="H62" s="4"/>
      <c r="J62" s="3"/>
      <c r="K62" s="3"/>
      <c r="L62" s="3"/>
      <c r="M62" s="5"/>
      <c r="N62" s="3"/>
      <c r="P62" s="3"/>
      <c r="Q62" s="3"/>
    </row>
    <row r="63" spans="7:17">
      <c r="G63" s="3"/>
      <c r="H63" s="4"/>
      <c r="J63" s="3"/>
      <c r="K63" s="3"/>
      <c r="L63" s="3"/>
      <c r="M63" s="5"/>
      <c r="N63" s="3"/>
      <c r="P63" s="3"/>
      <c r="Q63" s="3"/>
    </row>
    <row r="64" spans="7:17">
      <c r="G64" s="3"/>
      <c r="H64" s="4"/>
      <c r="J64" s="3"/>
      <c r="K64" s="3"/>
      <c r="L64" s="3"/>
      <c r="M64" s="5"/>
      <c r="N64" s="3"/>
      <c r="P64" s="3"/>
      <c r="Q64" s="3"/>
    </row>
    <row r="65" spans="7:17">
      <c r="G65" s="3"/>
      <c r="H65" s="4"/>
      <c r="J65" s="3"/>
      <c r="K65" s="3"/>
      <c r="L65" s="3"/>
      <c r="M65" s="5"/>
      <c r="N65" s="3"/>
      <c r="P65" s="3"/>
      <c r="Q65" s="3"/>
    </row>
    <row r="66" spans="7:17">
      <c r="G66" s="3"/>
      <c r="H66" s="4"/>
      <c r="J66" s="3"/>
      <c r="K66" s="3"/>
      <c r="L66" s="3"/>
      <c r="M66" s="5"/>
      <c r="N66" s="3"/>
      <c r="P66" s="3"/>
      <c r="Q66" s="3"/>
    </row>
    <row r="67" spans="7:17">
      <c r="G67" s="3"/>
      <c r="H67" s="4"/>
      <c r="J67" s="3"/>
      <c r="K67" s="3"/>
      <c r="L67" s="3"/>
      <c r="M67" s="5"/>
      <c r="N67" s="3"/>
      <c r="P67" s="3"/>
      <c r="Q67" s="3"/>
    </row>
    <row r="68" spans="7:17">
      <c r="G68" s="3"/>
      <c r="H68" s="4"/>
      <c r="J68" s="3"/>
      <c r="K68" s="3"/>
      <c r="L68" s="3"/>
      <c r="M68" s="5"/>
      <c r="N68" s="3"/>
      <c r="P68" s="3"/>
      <c r="Q68" s="3"/>
    </row>
    <row r="69" spans="7:17">
      <c r="G69" s="3"/>
      <c r="H69" s="4"/>
      <c r="J69" s="3"/>
      <c r="K69" s="3"/>
      <c r="L69" s="3"/>
      <c r="M69" s="5"/>
      <c r="N69" s="3"/>
      <c r="P69" s="3"/>
      <c r="Q69" s="3"/>
    </row>
    <row r="70" spans="7:17">
      <c r="G70" s="3"/>
      <c r="H70" s="4"/>
      <c r="J70" s="3"/>
      <c r="K70" s="3"/>
      <c r="L70" s="3"/>
      <c r="M70" s="5"/>
      <c r="N70" s="3"/>
      <c r="P70" s="3"/>
      <c r="Q70" s="3"/>
    </row>
    <row r="71" spans="7:17">
      <c r="G71" s="3"/>
      <c r="H71" s="4"/>
      <c r="J71" s="3"/>
      <c r="K71" s="3"/>
      <c r="L71" s="3"/>
      <c r="M71" s="5"/>
      <c r="N71" s="3"/>
      <c r="P71" s="3"/>
      <c r="Q71" s="3"/>
    </row>
    <row r="72" spans="7:17">
      <c r="G72" s="3"/>
      <c r="H72" s="4"/>
      <c r="J72" s="3"/>
      <c r="K72" s="3"/>
      <c r="L72" s="3"/>
      <c r="M72" s="5"/>
      <c r="N72" s="3"/>
      <c r="P72" s="3"/>
      <c r="Q72" s="3"/>
    </row>
    <row r="73" spans="7:17">
      <c r="G73" s="3"/>
      <c r="H73" s="4"/>
      <c r="J73" s="3"/>
      <c r="K73" s="3"/>
      <c r="L73" s="3"/>
      <c r="M73" s="5"/>
      <c r="N73" s="3"/>
      <c r="P73" s="3"/>
      <c r="Q73" s="3"/>
    </row>
    <row r="74" spans="7:17">
      <c r="G74" s="3"/>
      <c r="H74" s="4"/>
      <c r="J74" s="3"/>
      <c r="K74" s="3"/>
      <c r="L74" s="3"/>
      <c r="M74" s="5"/>
      <c r="N74" s="3"/>
      <c r="P74" s="3"/>
      <c r="Q74" s="3"/>
    </row>
    <row r="75" spans="7:17">
      <c r="G75" s="3"/>
      <c r="H75" s="4"/>
      <c r="J75" s="3"/>
      <c r="K75" s="3"/>
      <c r="L75" s="3"/>
      <c r="M75" s="5"/>
      <c r="N75" s="3"/>
      <c r="P75" s="3"/>
      <c r="Q75" s="3"/>
    </row>
    <row r="76" spans="7:17">
      <c r="G76" s="3"/>
      <c r="H76" s="4"/>
      <c r="J76" s="3"/>
      <c r="K76" s="3"/>
      <c r="L76" s="3"/>
      <c r="M76" s="5"/>
      <c r="N76" s="3"/>
      <c r="P76" s="3"/>
      <c r="Q76" s="3"/>
    </row>
    <row r="77" spans="7:17">
      <c r="G77" s="3"/>
      <c r="H77" s="4"/>
      <c r="J77" s="3"/>
      <c r="K77" s="3"/>
      <c r="L77" s="3"/>
      <c r="M77" s="5"/>
      <c r="N77" s="3"/>
      <c r="P77" s="3"/>
      <c r="Q77" s="3"/>
    </row>
    <row r="78" spans="7:17">
      <c r="G78" s="3"/>
      <c r="H78" s="4"/>
      <c r="J78" s="3"/>
      <c r="K78" s="3"/>
      <c r="L78" s="3"/>
      <c r="M78" s="5"/>
      <c r="N78" s="3"/>
      <c r="P78" s="3"/>
      <c r="Q78" s="3"/>
    </row>
    <row r="79" spans="7:17">
      <c r="G79" s="3"/>
      <c r="H79" s="4"/>
      <c r="J79" s="3"/>
      <c r="K79" s="3"/>
      <c r="L79" s="3"/>
      <c r="M79" s="5"/>
      <c r="N79" s="3"/>
      <c r="P79" s="3"/>
      <c r="Q79" s="3"/>
    </row>
    <row r="80" spans="7:17">
      <c r="G80" s="3"/>
      <c r="H80" s="4"/>
      <c r="J80" s="3"/>
      <c r="K80" s="3"/>
      <c r="L80" s="3"/>
      <c r="M80" s="5"/>
      <c r="N80" s="3"/>
      <c r="P80" s="3"/>
      <c r="Q80" s="3"/>
    </row>
    <row r="81" spans="7:17">
      <c r="G81" s="3"/>
      <c r="H81" s="4"/>
      <c r="J81" s="3"/>
      <c r="K81" s="3"/>
      <c r="L81" s="3"/>
      <c r="M81" s="5"/>
      <c r="N81" s="3"/>
      <c r="P81" s="3"/>
      <c r="Q81" s="3"/>
    </row>
    <row r="82" spans="7:17" ht="15" customHeight="1">
      <c r="H82" s="4"/>
      <c r="J82" s="3"/>
      <c r="K82" s="3"/>
      <c r="L82" s="3"/>
      <c r="M82" s="5"/>
      <c r="N82" s="3"/>
      <c r="P82" s="3"/>
      <c r="Q82" s="3"/>
    </row>
    <row r="83" spans="7:17">
      <c r="G83" s="4"/>
      <c r="H83" s="4"/>
      <c r="J83" s="3"/>
      <c r="K83" s="3"/>
      <c r="L83" s="3"/>
      <c r="M83" s="5"/>
      <c r="N83" s="3"/>
      <c r="P83" s="3"/>
      <c r="Q83" s="3"/>
    </row>
    <row r="84" spans="7:17">
      <c r="G84" s="4"/>
      <c r="H84" s="4"/>
      <c r="J84" s="3"/>
      <c r="K84" s="3"/>
      <c r="L84" s="3"/>
      <c r="M84" s="5"/>
      <c r="N84" s="3"/>
      <c r="P84" s="3"/>
      <c r="Q84" s="3"/>
    </row>
    <row r="85" spans="7:17">
      <c r="G85" s="4"/>
      <c r="H85" s="4"/>
      <c r="J85" s="3"/>
      <c r="K85" s="3"/>
      <c r="L85" s="3"/>
      <c r="M85" s="5"/>
      <c r="N85" s="3"/>
      <c r="P85" s="3"/>
      <c r="Q85" s="3"/>
    </row>
    <row r="86" spans="7:17">
      <c r="G86" s="4"/>
      <c r="H86" s="4"/>
      <c r="J86" s="3"/>
      <c r="K86" s="3"/>
      <c r="L86" s="3"/>
      <c r="M86" s="5"/>
      <c r="N86" s="3"/>
      <c r="P86" s="3"/>
      <c r="Q86" s="3"/>
    </row>
  </sheetData>
  <conditionalFormatting sqref="N6:N11">
    <cfRule type="cellIs" dxfId="5" priority="1" operator="equal">
      <formula>"Maybe"</formula>
    </cfRule>
    <cfRule type="cellIs" dxfId="4" priority="5" operator="equal">
      <formula>"No"</formula>
    </cfRule>
    <cfRule type="cellIs" dxfId="3" priority="6" operator="equal">
      <formula>"Yes"</formula>
    </cfRule>
  </conditionalFormatting>
  <conditionalFormatting sqref="N20:N28">
    <cfRule type="cellIs" dxfId="2" priority="2" operator="equal">
      <formula>"Maybe"</formula>
    </cfRule>
    <cfRule type="cellIs" dxfId="1" priority="3" operator="equal">
      <formula>"Yes"</formula>
    </cfRule>
    <cfRule type="cellIs" dxfId="0" priority="4" operator="equal">
      <formula>"No"</formula>
    </cfRule>
  </conditionalFormatting>
  <pageMargins left="0.7" right="0.7" top="0.75" bottom="0.75" header="0.3" footer="0.3"/>
  <pageSetup orientation="portrait" horizontalDpi="4294967293" verticalDpi="429496729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SUMMARY</vt:lpstr>
      <vt:lpstr>ROP</vt:lpstr>
      <vt:lpstr>DXPE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Familia</cp:lastModifiedBy>
  <dcterms:created xsi:type="dcterms:W3CDTF">2024-09-07T21:22:33Z</dcterms:created>
  <dcterms:modified xsi:type="dcterms:W3CDTF">2024-09-14T21:45:58Z</dcterms:modified>
</cp:coreProperties>
</file>