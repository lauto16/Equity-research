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650" tabRatio="600" firstSheet="0" activeTab="0" autoFilterDateGrouping="1"/>
  </bookViews>
  <sheets>
    <sheet name="SUMMARY" sheetId="1" state="visible" r:id="rId1"/>
    <sheet name="ROP" sheetId="2" state="visible" r:id="rId2"/>
    <sheet name="DXPE" sheetId="3" state="visible" r:id="rId3"/>
    <sheet name="AAPL" sheetId="4" state="visible" r:id="rId4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20"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ptos Display"/>
      <family val="2"/>
      <b val="1"/>
      <color theme="1"/>
      <sz val="11"/>
    </font>
    <font>
      <name val="Aptos Display"/>
      <family val="2"/>
      <color theme="1"/>
      <sz val="11"/>
    </font>
    <font>
      <name val="Arial"/>
      <family val="2"/>
      <sz val="10"/>
    </font>
    <font>
      <name val="Aptos Display"/>
      <b val="1"/>
      <color theme="1"/>
      <sz val="11"/>
    </font>
    <font>
      <name val="Calibri"/>
      <family val="2"/>
      <color rgb="FFFF0000"/>
      <sz val="11"/>
      <scheme val="minor"/>
    </font>
    <font>
      <name val="Aptos Display"/>
      <family val="2"/>
      <color rgb="FFFF0000"/>
      <sz val="11"/>
    </font>
    <font>
      <name val="Calibri"/>
      <family val="2"/>
      <color rgb="FFFF0000"/>
      <sz val="11"/>
      <u val="single"/>
      <scheme val="minor"/>
    </font>
    <font>
      <name val="Aptos Display"/>
      <color theme="5"/>
      <sz val="11"/>
    </font>
    <font>
      <name val="Aptos Display"/>
      <color theme="1"/>
      <sz val="11"/>
    </font>
    <font>
      <name val="Aptos Display"/>
      <color theme="1"/>
      <sz val="9"/>
    </font>
    <font>
      <name val="Aptos Display"/>
      <sz val="11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Calibri"/>
      <family val="2"/>
      <color rgb="FF808000"/>
      <sz val="11"/>
    </font>
  </fonts>
  <fills count="5">
    <fill>
      <patternFill/>
    </fill>
    <fill>
      <patternFill patternType="gray125"/>
    </fill>
    <fill>
      <patternFill patternType="solid">
        <fgColor theme="9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Alignment="1">
      <alignment vertical="top"/>
    </xf>
  </cellStyleXfs>
  <cellXfs count="24">
    <xf numFmtId="0" fontId="0" fillId="0" borderId="0" pivotButton="0" quotePrefix="0" xfId="0"/>
    <xf numFmtId="0" fontId="1" fillId="0" borderId="0" pivotButton="0" quotePrefix="0" xfId="1"/>
    <xf numFmtId="0" fontId="2" fillId="0" borderId="0" pivotButton="0" quotePrefix="0" xfId="0"/>
    <xf numFmtId="0" fontId="5" fillId="0" borderId="0" pivotButton="0" quotePrefix="0" xfId="0"/>
    <xf numFmtId="0" fontId="7" fillId="0" borderId="0" pivotButton="0" quotePrefix="0" xfId="0"/>
    <xf numFmtId="0" fontId="6" fillId="0" borderId="0" pivotButton="0" quotePrefix="0" xfId="0"/>
    <xf numFmtId="0" fontId="8" fillId="0" borderId="0" pivotButton="0" quotePrefix="0" xfId="1"/>
    <xf numFmtId="2" fontId="3" fillId="0" borderId="0" pivotButton="0" quotePrefix="0" xfId="0"/>
    <xf numFmtId="0" fontId="5" fillId="0" borderId="0" applyAlignment="1" pivotButton="0" quotePrefix="0" xfId="0">
      <alignment horizontal="center"/>
    </xf>
    <xf numFmtId="1" fontId="3" fillId="0" borderId="0" pivotButton="0" quotePrefix="0" xfId="0"/>
    <xf numFmtId="0" fontId="3" fillId="2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3" fillId="3" borderId="0" pivotButton="0" quotePrefix="0" xfId="0"/>
    <xf numFmtId="0" fontId="10" fillId="0" borderId="0" pivotButton="0" quotePrefix="0" xfId="0"/>
    <xf numFmtId="0" fontId="11" fillId="0" borderId="0" pivotButton="0" quotePrefix="0" xfId="0"/>
    <xf numFmtId="0" fontId="10" fillId="4" borderId="0" pivotButton="0" quotePrefix="0" xfId="0"/>
    <xf numFmtId="0" fontId="12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15" fillId="0" borderId="0" pivotButton="0" quotePrefix="0" xfId="0"/>
    <xf numFmtId="0" fontId="16" fillId="0" borderId="0" pivotButton="0" quotePrefix="0" xfId="0"/>
    <xf numFmtId="0" fontId="17" fillId="0" borderId="0" pivotButton="0" quotePrefix="0" xfId="0"/>
    <xf numFmtId="0" fontId="18" fillId="0" borderId="0" pivotButton="0" quotePrefix="0" xfId="0"/>
  </cellXfs>
  <cellStyles count="3">
    <cellStyle name="Normal" xfId="0" builtinId="0"/>
    <cellStyle name="Hipervínculo" xfId="1" builtinId="8"/>
    <cellStyle name="Normal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duminda_dewa@yahoo.com" TargetMode="External" Id="rId1" /><Relationship Type="http://schemas.openxmlformats.org/officeDocument/2006/relationships/vmlDrawing" Target="/xl/drawings/vml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Hoja1">
    <outlinePr summaryBelow="1" summaryRight="1"/>
    <pageSetUpPr/>
  </sheetPr>
  <dimension ref="A2:P63"/>
  <sheetViews>
    <sheetView tabSelected="1" workbookViewId="0">
      <selection activeCell="C7" sqref="C7"/>
    </sheetView>
  </sheetViews>
  <sheetFormatPr baseColWidth="10" defaultColWidth="9.140625" defaultRowHeight="14.25"/>
  <cols>
    <col width="22.140625" customWidth="1" style="12" min="1" max="1"/>
    <col width="15.42578125" customWidth="1" style="12" min="2" max="2"/>
    <col width="16.7109375" customWidth="1" style="12" min="3" max="3"/>
    <col width="20.140625" customWidth="1" style="12" min="4" max="4"/>
    <col width="11.85546875" customWidth="1" style="12" min="5" max="5"/>
    <col width="13.7109375" customWidth="1" style="12" min="6" max="7"/>
    <col width="11.85546875" customWidth="1" style="12" min="8" max="8"/>
    <col width="14.85546875" customWidth="1" style="12" min="9" max="9"/>
    <col width="12.140625" customWidth="1" style="12" min="10" max="10"/>
    <col width="17.85546875" customWidth="1" style="12" min="11" max="11"/>
    <col width="20" customWidth="1" style="12" min="12" max="12"/>
    <col width="9.140625" customWidth="1" style="12" min="13" max="198"/>
    <col width="9.140625" customWidth="1" style="12" min="199" max="16384"/>
  </cols>
  <sheetData>
    <row r="2" ht="15" customHeight="1">
      <c r="C2" s="14" t="inlineStr">
        <is>
          <t>Symbol to add:</t>
        </is>
      </c>
      <c r="D2" s="10" t="inlineStr">
        <is>
          <t>AAPL</t>
        </is>
      </c>
      <c r="F2" s="12" t="inlineStr">
        <is>
          <t>If the symbol you try to add already exists, it refreshes</t>
        </is>
      </c>
    </row>
    <row r="3" ht="15.75" customHeight="1">
      <c r="C3" s="8" t="n"/>
      <c r="F3" s="11" t="n"/>
    </row>
    <row r="4">
      <c r="C4" s="14" t="inlineStr">
        <is>
          <t xml:space="preserve">Delay: </t>
        </is>
      </c>
      <c r="D4" s="13" t="n">
        <v>2.5</v>
      </c>
      <c r="F4" s="17" t="inlineStr">
        <is>
          <t>Delay of loading web page in seconds (bad internet -&gt; higher number), around 2.5 should be good</t>
        </is>
      </c>
    </row>
    <row r="7" ht="15" customFormat="1" customHeight="1" s="2">
      <c r="C7" s="15" t="n"/>
      <c r="D7" s="16" t="n"/>
    </row>
    <row r="8">
      <c r="M8" s="4" t="n"/>
      <c r="N8" s="4" t="n"/>
      <c r="O8" s="4" t="n"/>
      <c r="P8" s="4" t="n"/>
    </row>
    <row r="9">
      <c r="M9" s="4" t="n"/>
      <c r="N9" s="4" t="n"/>
      <c r="O9" s="4" t="n"/>
      <c r="P9" s="4" t="n"/>
    </row>
    <row r="10">
      <c r="M10" s="4" t="n"/>
      <c r="N10" s="4" t="n"/>
      <c r="O10" s="4" t="n"/>
      <c r="P10" s="4" t="n"/>
    </row>
    <row r="11" ht="15" customHeight="1">
      <c r="M11" s="4" t="n"/>
      <c r="N11" s="4" t="n"/>
      <c r="O11" s="4" t="n"/>
      <c r="P11" s="4" t="n"/>
    </row>
    <row r="12" ht="15" customHeight="1">
      <c r="A12" s="2" t="inlineStr">
        <is>
          <t>Name</t>
        </is>
      </c>
      <c r="B12" s="2" t="inlineStr">
        <is>
          <t>Symbol</t>
        </is>
      </c>
      <c r="C12" s="2" t="inlineStr">
        <is>
          <t>Quantity</t>
        </is>
      </c>
      <c r="D12" s="2" t="inlineStr">
        <is>
          <t>Cost per share</t>
        </is>
      </c>
      <c r="E12" s="2" t="inlineStr">
        <is>
          <t>Total cost</t>
        </is>
      </c>
      <c r="F12" s="2" t="inlineStr">
        <is>
          <t>Market value</t>
        </is>
      </c>
      <c r="G12" s="2" t="inlineStr">
        <is>
          <t>Percent gain/loss</t>
        </is>
      </c>
      <c r="H12" s="2" t="n"/>
      <c r="I12" s="2" t="inlineStr">
        <is>
          <t>Gross Margin</t>
        </is>
      </c>
      <c r="J12" s="2" t="inlineStr">
        <is>
          <t xml:space="preserve">Net Margin </t>
        </is>
      </c>
      <c r="K12" s="2" t="inlineStr">
        <is>
          <t>Current Ratio</t>
        </is>
      </c>
      <c r="L12" s="2" t="inlineStr">
        <is>
          <t>Debt to Equity Ratio</t>
        </is>
      </c>
      <c r="M12" s="4" t="n"/>
      <c r="N12" s="4" t="n"/>
      <c r="O12" s="4" t="n"/>
      <c r="P12" s="4" t="n"/>
    </row>
    <row r="13" ht="15" customHeight="1">
      <c r="A13" s="12" t="inlineStr">
        <is>
          <t>Roper Technologies</t>
        </is>
      </c>
      <c r="B13" s="12" t="inlineStr">
        <is>
          <t>ROP</t>
        </is>
      </c>
      <c r="C13" s="12">
        <f>SUM(#REF!)</f>
        <v/>
      </c>
      <c r="D13" s="7">
        <f>#REF!</f>
        <v/>
      </c>
      <c r="L13" s="4" t="n"/>
      <c r="M13" s="4" t="n"/>
      <c r="N13" s="4" t="n"/>
      <c r="O13" s="4" t="n"/>
      <c r="P13" s="4" t="n"/>
    </row>
    <row r="14" ht="15" customHeight="1">
      <c r="A14" s="12" t="inlineStr">
        <is>
          <t>DXPE Technologies</t>
        </is>
      </c>
      <c r="B14" s="12" t="inlineStr">
        <is>
          <t>DXPE</t>
        </is>
      </c>
      <c r="C14" s="9">
        <f>SUM(#REF!)</f>
        <v/>
      </c>
      <c r="D14" s="7">
        <f>#REF!</f>
        <v/>
      </c>
      <c r="L14" s="4" t="n"/>
      <c r="M14" s="4" t="n"/>
      <c r="N14" s="4" t="n"/>
      <c r="O14" s="4" t="n"/>
      <c r="P14" s="4" t="n"/>
    </row>
    <row r="15" ht="15" customHeight="1">
      <c r="L15" s="4" t="n"/>
      <c r="M15" s="4" t="n"/>
      <c r="N15" s="4" t="n"/>
      <c r="O15" s="4" t="n"/>
      <c r="P15" s="4" t="n"/>
    </row>
    <row r="16" ht="15" customHeight="1">
      <c r="C16" s="5" t="n"/>
      <c r="L16" s="4" t="n"/>
      <c r="M16" s="4" t="n"/>
      <c r="N16" s="4" t="n"/>
      <c r="O16" s="4" t="n"/>
      <c r="P16" s="4" t="n"/>
    </row>
    <row r="17" ht="15" customHeight="1">
      <c r="C17" s="5" t="n"/>
      <c r="L17" s="4" t="n"/>
      <c r="M17" s="4" t="n"/>
      <c r="N17" s="4" t="n"/>
      <c r="O17" s="4" t="n"/>
      <c r="P17" s="4" t="n"/>
    </row>
    <row r="18" ht="15" customHeight="1">
      <c r="C18" s="5" t="n"/>
      <c r="L18" s="4" t="n"/>
      <c r="M18" s="4" t="n"/>
      <c r="N18" s="4" t="n"/>
      <c r="O18" s="4" t="n"/>
      <c r="P18" s="4" t="n"/>
    </row>
    <row r="19" ht="15" customHeight="1">
      <c r="C19" s="5" t="n"/>
      <c r="L19" s="4" t="n"/>
      <c r="M19" s="4" t="n"/>
      <c r="N19" s="4" t="n"/>
      <c r="O19" s="4" t="n"/>
      <c r="P19" s="4" t="n"/>
    </row>
    <row r="20" ht="15" customHeight="1">
      <c r="C20" s="5" t="n"/>
      <c r="L20" s="4" t="n"/>
      <c r="M20" s="4" t="n"/>
      <c r="N20" s="4" t="n"/>
      <c r="O20" s="4" t="n"/>
      <c r="P20" s="4" t="n"/>
    </row>
    <row r="21" ht="15" customHeight="1">
      <c r="C21" s="5" t="n"/>
      <c r="L21" s="4" t="n"/>
      <c r="M21" s="4" t="n"/>
      <c r="N21" s="4" t="n"/>
      <c r="O21" s="4" t="n"/>
      <c r="P21" s="4" t="n"/>
    </row>
    <row r="22" ht="15" customHeight="1">
      <c r="C22" s="5" t="n"/>
      <c r="H22" s="12" t="inlineStr">
        <is>
          <t xml:space="preserve">My email is </t>
        </is>
      </c>
      <c r="L22" s="4" t="n"/>
      <c r="M22" s="4" t="n"/>
      <c r="N22" s="4" t="n"/>
      <c r="O22" s="4" t="n"/>
      <c r="P22" s="4" t="n"/>
    </row>
    <row r="23" ht="15" customHeight="1">
      <c r="C23" s="5" t="n"/>
      <c r="H23" s="1" t="inlineStr">
        <is>
          <t>duminda_dewa@yahoo.com</t>
        </is>
      </c>
      <c r="L23" s="4" t="n"/>
      <c r="M23" s="4" t="n"/>
      <c r="N23" s="4" t="n"/>
      <c r="O23" s="4" t="n"/>
      <c r="P23" s="4" t="n"/>
    </row>
    <row r="24" ht="15" customHeight="1">
      <c r="C24" s="5" t="n"/>
      <c r="H24" s="12" t="inlineStr">
        <is>
          <t>if you want to reach me directly in the future</t>
        </is>
      </c>
      <c r="L24" s="4" t="n"/>
      <c r="M24" s="4" t="n"/>
      <c r="N24" s="4" t="n"/>
      <c r="O24" s="4" t="n"/>
      <c r="P24" s="4" t="n"/>
    </row>
    <row r="25" ht="15" customHeight="1">
      <c r="C25" s="5" t="n"/>
      <c r="L25" s="4" t="n"/>
      <c r="M25" s="4" t="n"/>
      <c r="N25" s="4" t="n"/>
      <c r="O25" s="4" t="n"/>
      <c r="P25" s="4" t="n"/>
    </row>
    <row r="26" ht="15" customHeight="1">
      <c r="C26" s="6" t="n"/>
      <c r="L26" s="4" t="n"/>
      <c r="M26" s="4" t="n"/>
      <c r="N26" s="4" t="n"/>
      <c r="O26" s="4" t="n"/>
      <c r="P26" s="4" t="n"/>
    </row>
    <row r="27">
      <c r="L27" s="4" t="n"/>
      <c r="M27" s="4" t="n"/>
      <c r="N27" s="4" t="n"/>
      <c r="O27" s="4" t="n"/>
      <c r="P27" s="4" t="n"/>
    </row>
    <row r="28">
      <c r="L28" s="4" t="n"/>
      <c r="M28" s="4" t="n"/>
      <c r="N28" s="4" t="n"/>
      <c r="O28" s="4" t="n"/>
      <c r="P28" s="4" t="n"/>
    </row>
    <row r="29">
      <c r="L29" s="4" t="n"/>
      <c r="M29" s="4" t="n"/>
      <c r="N29" s="4" t="n"/>
      <c r="O29" s="4" t="n"/>
      <c r="P29" s="4" t="n"/>
    </row>
    <row r="30">
      <c r="L30" s="4" t="n"/>
      <c r="M30" s="4" t="n"/>
      <c r="N30" s="4" t="n"/>
      <c r="O30" s="4" t="n"/>
      <c r="P30" s="4" t="n"/>
    </row>
    <row r="31">
      <c r="L31" s="4" t="n"/>
      <c r="M31" s="4" t="n"/>
      <c r="N31" s="4" t="n"/>
      <c r="O31" s="4" t="n"/>
      <c r="P31" s="4" t="n"/>
    </row>
    <row r="32">
      <c r="L32" s="4" t="n"/>
      <c r="M32" s="4" t="n"/>
      <c r="N32" s="4" t="n"/>
      <c r="O32" s="4" t="n"/>
      <c r="P32" s="4" t="n"/>
    </row>
    <row r="33">
      <c r="L33" s="4" t="n"/>
      <c r="M33" s="4" t="n"/>
      <c r="N33" s="4" t="n"/>
      <c r="O33" s="4" t="n"/>
      <c r="P33" s="4" t="n"/>
    </row>
    <row r="34">
      <c r="L34" s="4" t="n"/>
      <c r="M34" s="4" t="n"/>
      <c r="N34" s="4" t="n"/>
      <c r="O34" s="4" t="n"/>
      <c r="P34" s="4" t="n"/>
    </row>
    <row r="37" ht="15" customFormat="1" customHeight="1" s="3">
      <c r="M37" s="12" t="n"/>
    </row>
    <row r="63" ht="15" customHeight="1">
      <c r="G63" s="1" t="n"/>
    </row>
    <row r="67" ht="15" customHeight="1"/>
  </sheetData>
  <hyperlinks>
    <hyperlink ref="H23" r:id="rId1"/>
  </hyperlinks>
  <pageMargins left="0.7" right="0.7" top="0.75" bottom="0.75" header="0.3" footer="0.3"/>
  <pageSetup orientation="portrait" verticalDpi="300"/>
  <legacyDrawing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O44"/>
  <sheetViews>
    <sheetView workbookViewId="0">
      <selection activeCell="L42" sqref="L42"/>
    </sheetView>
  </sheetViews>
  <sheetFormatPr baseColWidth="10" defaultColWidth="9.140625" defaultRowHeight="15"/>
  <cols>
    <col width="22.42578125" customWidth="1" min="7" max="7"/>
  </cols>
  <sheetData>
    <row r="1">
      <c r="A1" s="18" t="inlineStr">
        <is>
          <t>Date</t>
        </is>
      </c>
      <c r="B1" s="18" t="inlineStr">
        <is>
          <t>Qty</t>
        </is>
      </c>
      <c r="C1" s="18" t="inlineStr">
        <is>
          <t>Cost per share</t>
        </is>
      </c>
      <c r="D1" s="18" t="inlineStr">
        <is>
          <t>Total Cost</t>
        </is>
      </c>
    </row>
    <row r="5">
      <c r="G5" s="19" t="inlineStr">
        <is>
          <t>Last Reviewed</t>
        </is>
      </c>
      <c r="H5" s="18" t="inlineStr">
        <is>
          <t>2024/06/30</t>
        </is>
      </c>
      <c r="N5" s="18" t="inlineStr">
        <is>
          <t>CHECKLIST - Why should I NOT buy ?</t>
        </is>
      </c>
    </row>
    <row r="6">
      <c r="G6" s="19" t="inlineStr">
        <is>
          <t>Company</t>
        </is>
      </c>
      <c r="O6" s="19" t="inlineStr">
        <is>
          <t>Asymetric Risk - High downside, Low upside</t>
        </is>
      </c>
    </row>
    <row r="7">
      <c r="G7" s="19" t="inlineStr">
        <is>
          <t>Stock ticker</t>
        </is>
      </c>
      <c r="H7" s="18" t="inlineStr">
        <is>
          <t>ROP</t>
        </is>
      </c>
      <c r="O7" s="19" t="inlineStr">
        <is>
          <t>Potential for technology disruption</t>
        </is>
      </c>
    </row>
    <row r="8">
      <c r="G8" s="19" t="inlineStr">
        <is>
          <t>My Money</t>
        </is>
      </c>
      <c r="O8" s="19" t="inlineStr">
        <is>
          <t>Inversion - What could kill the company ?</t>
        </is>
      </c>
    </row>
    <row r="9">
      <c r="G9" s="19" t="n"/>
      <c r="O9" s="19" t="inlineStr">
        <is>
          <t>High Cyclical Variation ?</t>
        </is>
      </c>
    </row>
    <row r="10">
      <c r="G10" s="19" t="n"/>
      <c r="O10" s="19" t="inlineStr">
        <is>
          <t>Am I paying too high price ?</t>
        </is>
      </c>
    </row>
    <row r="11">
      <c r="G11" s="19" t="inlineStr">
        <is>
          <t>Current price</t>
        </is>
      </c>
      <c r="H11" s="19" t="n">
        <v>0</v>
      </c>
      <c r="I11" s="19" t="n"/>
      <c r="O11" s="19" t="inlineStr">
        <is>
          <t>Is there anything I don’t know ?</t>
        </is>
      </c>
    </row>
    <row r="12">
      <c r="G12" s="19" t="inlineStr">
        <is>
          <t>My average cost per share</t>
        </is>
      </c>
      <c r="H12" s="19" t="n"/>
      <c r="I12" s="19" t="n"/>
    </row>
    <row r="13">
      <c r="G13" s="19" t="inlineStr">
        <is>
          <t>Fair value of the stock</t>
        </is>
      </c>
      <c r="H13" s="19" t="n">
        <v>0</v>
      </c>
      <c r="I13" s="19" t="n"/>
    </row>
    <row r="14">
      <c r="G14" s="19" t="inlineStr">
        <is>
          <t>When to buy crazy</t>
        </is>
      </c>
      <c r="H14" s="19" t="n"/>
      <c r="I14" s="19" t="n"/>
    </row>
    <row r="15">
      <c r="G15" s="19" t="inlineStr">
        <is>
          <t>FCF per share</t>
        </is>
      </c>
      <c r="H15" s="19" t="n"/>
      <c r="I15" s="19" t="n"/>
    </row>
    <row r="16">
      <c r="G16" s="19" t="n"/>
      <c r="H16" s="19" t="n"/>
      <c r="I16" s="19" t="n"/>
    </row>
    <row r="17">
      <c r="G17" s="18" t="inlineStr">
        <is>
          <t>Data</t>
        </is>
      </c>
      <c r="H17" s="18" t="inlineStr">
        <is>
          <t>Value</t>
        </is>
      </c>
      <c r="I17" s="18" t="inlineStr">
        <is>
          <t>Type</t>
        </is>
      </c>
      <c r="N17" s="18" t="inlineStr">
        <is>
          <t>CHECKLIST - Why should I buy ?</t>
        </is>
      </c>
    </row>
    <row r="18">
      <c r="G18" s="19" t="inlineStr">
        <is>
          <t>Revenue</t>
        </is>
      </c>
      <c r="H18" s="19" t="n">
        <v>6.574400000000001</v>
      </c>
      <c r="I18" s="19" t="inlineStr">
        <is>
          <t>Billion TTM</t>
        </is>
      </c>
      <c r="O18" s="19" t="inlineStr">
        <is>
          <t>Fair Price today</t>
        </is>
      </c>
    </row>
    <row r="19">
      <c r="G19" s="19" t="inlineStr">
        <is>
          <t>Expenses</t>
        </is>
      </c>
      <c r="H19" s="19" t="n">
        <v>2.7114</v>
      </c>
      <c r="I19" s="19" t="inlineStr">
        <is>
          <t>Billion TTM</t>
        </is>
      </c>
      <c r="O19" s="19" t="inlineStr">
        <is>
          <t>Quality of Management, Culture, Long Tenure</t>
        </is>
      </c>
    </row>
    <row r="20">
      <c r="G20" s="19" t="inlineStr">
        <is>
          <t>Net income</t>
        </is>
      </c>
      <c r="H20" s="19" t="n">
        <v>1.4553</v>
      </c>
      <c r="I20" s="19" t="inlineStr">
        <is>
          <t>Billion TTM</t>
        </is>
      </c>
      <c r="O20" s="19" t="inlineStr">
        <is>
          <t>Low Debt</t>
        </is>
      </c>
    </row>
    <row r="21">
      <c r="G21" s="19" t="inlineStr">
        <is>
          <t>Net income margin</t>
        </is>
      </c>
      <c r="H21" s="19" t="n">
        <v>22.136</v>
      </c>
      <c r="I21" s="19" t="inlineStr">
        <is>
          <t>%</t>
        </is>
      </c>
      <c r="O21" s="19" t="inlineStr">
        <is>
          <t>Asymetric potential - Low downside, High upside</t>
        </is>
      </c>
    </row>
    <row r="22">
      <c r="G22" s="19" t="inlineStr">
        <is>
          <t>EPS</t>
        </is>
      </c>
      <c r="H22" s="19" t="n">
        <v>13.475</v>
      </c>
      <c r="I22" s="19" t="n"/>
      <c r="O22" s="19" t="inlineStr">
        <is>
          <t>Growth Potential - scale 10x in 10yrs</t>
        </is>
      </c>
    </row>
    <row r="23">
      <c r="G23" s="19" t="inlineStr">
        <is>
          <t>PE ratio</t>
        </is>
      </c>
      <c r="H23" s="19" t="n">
        <v>0</v>
      </c>
      <c r="I23" s="19" t="n"/>
      <c r="O23" s="19" t="inlineStr">
        <is>
          <t>Can it withstand a big recession ?</t>
        </is>
      </c>
    </row>
    <row r="24">
      <c r="G24" s="19" t="n"/>
      <c r="H24" s="19" t="n"/>
      <c r="I24" s="19" t="n"/>
    </row>
    <row r="25">
      <c r="G25" s="19" t="inlineStr">
        <is>
          <t>Assets</t>
        </is>
      </c>
      <c r="H25" s="19" t="n">
        <v>116.1815</v>
      </c>
      <c r="I25" s="19" t="inlineStr">
        <is>
          <t>Billion TTM</t>
        </is>
      </c>
    </row>
    <row r="26">
      <c r="G26" s="19" t="inlineStr">
        <is>
          <t>Liabilities</t>
        </is>
      </c>
      <c r="H26" s="19" t="n">
        <v>45.7614</v>
      </c>
      <c r="I26" s="19" t="inlineStr">
        <is>
          <t>Billion TTM</t>
        </is>
      </c>
    </row>
    <row r="27">
      <c r="G27" s="19" t="inlineStr">
        <is>
          <t>Book value (Share equity)</t>
        </is>
      </c>
      <c r="H27" s="19" t="n">
        <v>169.2087</v>
      </c>
      <c r="I27" s="19" t="n"/>
    </row>
    <row r="28">
      <c r="G28" s="19" t="inlineStr">
        <is>
          <t>Current ratio</t>
        </is>
      </c>
      <c r="H28" s="19" t="n">
        <v>2.538853706398843</v>
      </c>
      <c r="I28" s="19" t="inlineStr">
        <is>
          <t>TTM (Assets TTM / Liabilities TTM)</t>
        </is>
      </c>
    </row>
    <row r="29">
      <c r="G29" s="19" t="inlineStr">
        <is>
          <t>Debt to equity</t>
        </is>
      </c>
      <c r="H29" s="19" t="n">
        <v>0.4093</v>
      </c>
      <c r="I29" s="19" t="n"/>
    </row>
    <row r="30">
      <c r="G30" s="19" t="n"/>
      <c r="H30" s="19" t="n"/>
      <c r="I30" s="19" t="n"/>
    </row>
    <row r="31">
      <c r="G31" s="19" t="inlineStr">
        <is>
          <t>Market cap</t>
        </is>
      </c>
      <c r="H31" s="19" t="n">
        <v>0</v>
      </c>
      <c r="I31" s="19" t="n"/>
    </row>
    <row r="32">
      <c r="G32" s="19" t="inlineStr">
        <is>
          <t>Num shares</t>
        </is>
      </c>
      <c r="H32" s="19" t="n">
        <v>0.108</v>
      </c>
      <c r="I32" s="19" t="inlineStr">
        <is>
          <t>Billion</t>
        </is>
      </c>
    </row>
    <row r="33">
      <c r="G33" s="19" t="inlineStr">
        <is>
          <t>Dividend</t>
        </is>
      </c>
      <c r="H33" s="19" t="n">
        <v>0.55</v>
      </c>
      <c r="I33" s="19" t="inlineStr">
        <is>
          <t>%</t>
        </is>
      </c>
    </row>
    <row r="34">
      <c r="G34" s="19" t="inlineStr">
        <is>
          <t>Free cash flow</t>
        </is>
      </c>
      <c r="H34" s="19" t="n"/>
      <c r="I34" s="19" t="n"/>
    </row>
    <row r="35">
      <c r="G35" s="19" t="inlineStr">
        <is>
          <t>SGA</t>
        </is>
      </c>
      <c r="H35" s="19" t="n">
        <v>2.7114</v>
      </c>
      <c r="I35" s="19" t="inlineStr">
        <is>
          <t>Billion TTM</t>
        </is>
      </c>
    </row>
    <row r="36">
      <c r="G36" s="19" t="inlineStr">
        <is>
          <t>SGA margin</t>
        </is>
      </c>
      <c r="H36" s="19" t="n">
        <v>58.997</v>
      </c>
      <c r="I36" s="19" t="inlineStr">
        <is>
          <t>%</t>
        </is>
      </c>
    </row>
    <row r="37">
      <c r="G37" s="19" t="inlineStr">
        <is>
          <t>Gross profit</t>
        </is>
      </c>
      <c r="H37" s="19" t="n">
        <v>4.5958</v>
      </c>
      <c r="I37" s="19" t="inlineStr">
        <is>
          <t>Billion TTM</t>
        </is>
      </c>
    </row>
    <row r="38">
      <c r="G38" s="19" t="inlineStr">
        <is>
          <t>Gross margin</t>
        </is>
      </c>
      <c r="H38" s="19" t="n">
        <v>69.904</v>
      </c>
      <c r="I38" s="19" t="inlineStr">
        <is>
          <t>%</t>
        </is>
      </c>
    </row>
    <row r="39">
      <c r="G39" s="19" t="inlineStr">
        <is>
          <t>Cash on hand</t>
        </is>
      </c>
      <c r="H39" s="19" t="n">
        <v>0.2515</v>
      </c>
      <c r="I39" s="19" t="inlineStr">
        <is>
          <t>Billion</t>
        </is>
      </c>
    </row>
    <row r="40">
      <c r="G40" s="19" t="inlineStr">
        <is>
          <t>Cash on hand TTM</t>
        </is>
      </c>
      <c r="H40" s="19" t="n">
        <v>0.9637</v>
      </c>
      <c r="I40" s="19" t="inlineStr">
        <is>
          <t>Billion TTM</t>
        </is>
      </c>
    </row>
    <row r="41">
      <c r="G41" s="19" t="inlineStr">
        <is>
          <t>Long term debt</t>
        </is>
      </c>
      <c r="H41" s="19" t="n">
        <v>6.9239</v>
      </c>
      <c r="I41" s="19" t="inlineStr">
        <is>
          <t>Billion</t>
        </is>
      </c>
    </row>
    <row r="42">
      <c r="G42" s="19" t="inlineStr">
        <is>
          <t>Long term debt TTM</t>
        </is>
      </c>
      <c r="H42" s="19" t="n">
        <v>26.3558</v>
      </c>
      <c r="I42" s="19" t="inlineStr">
        <is>
          <t>Billion TTM</t>
        </is>
      </c>
    </row>
    <row r="43">
      <c r="G43" s="19" t="inlineStr">
        <is>
          <t>Roi</t>
        </is>
      </c>
      <c r="H43" s="19" t="n">
        <v>1.345</v>
      </c>
      <c r="I43" s="19" t="n"/>
    </row>
    <row r="44">
      <c r="G44" s="19" t="inlineStr">
        <is>
          <t>Book value TTM</t>
        </is>
      </c>
      <c r="H44" s="19" t="n">
        <v>658.165</v>
      </c>
      <c r="I44" s="19" t="n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A1:O44"/>
  <sheetViews>
    <sheetView workbookViewId="0">
      <selection activeCell="A1" sqref="A1"/>
    </sheetView>
  </sheetViews>
  <sheetFormatPr baseColWidth="10" defaultColWidth="9.140625" defaultRowHeight="15"/>
  <cols>
    <col width="22.42578125" customWidth="1" min="7" max="7"/>
  </cols>
  <sheetData>
    <row r="1">
      <c r="A1" s="20" t="inlineStr">
        <is>
          <t>Date</t>
        </is>
      </c>
      <c r="B1" s="20" t="inlineStr">
        <is>
          <t>Qty</t>
        </is>
      </c>
      <c r="C1" s="20" t="inlineStr">
        <is>
          <t>Cost per share</t>
        </is>
      </c>
      <c r="D1" s="20" t="inlineStr">
        <is>
          <t>Total Cost</t>
        </is>
      </c>
    </row>
    <row r="5">
      <c r="G5" s="21" t="inlineStr">
        <is>
          <t>Last Reviewed</t>
        </is>
      </c>
      <c r="H5" s="20" t="inlineStr">
        <is>
          <t>2024/06/30</t>
        </is>
      </c>
      <c r="N5" s="20" t="inlineStr">
        <is>
          <t>CHECKLIST - Why should I NOT buy ?</t>
        </is>
      </c>
    </row>
    <row r="6">
      <c r="G6" s="21" t="inlineStr">
        <is>
          <t>Company</t>
        </is>
      </c>
      <c r="O6" s="21" t="inlineStr">
        <is>
          <t>Asymetric Risk - High downside, Low upside</t>
        </is>
      </c>
    </row>
    <row r="7">
      <c r="G7" s="21" t="inlineStr">
        <is>
          <t>Stock ticker</t>
        </is>
      </c>
      <c r="H7" s="20" t="inlineStr">
        <is>
          <t>DXPE</t>
        </is>
      </c>
      <c r="O7" s="21" t="inlineStr">
        <is>
          <t>Potential for technology disruption</t>
        </is>
      </c>
    </row>
    <row r="8">
      <c r="G8" s="21" t="inlineStr">
        <is>
          <t>My Money</t>
        </is>
      </c>
      <c r="O8" s="21" t="inlineStr">
        <is>
          <t>Inversion - What could kill the company ?</t>
        </is>
      </c>
    </row>
    <row r="9">
      <c r="G9" s="21" t="n"/>
      <c r="O9" s="21" t="inlineStr">
        <is>
          <t>High Cyclical Variation ?</t>
        </is>
      </c>
    </row>
    <row r="10">
      <c r="G10" s="21" t="n"/>
      <c r="O10" s="21" t="inlineStr">
        <is>
          <t>Am I paying too high price ?</t>
        </is>
      </c>
    </row>
    <row r="11">
      <c r="G11" s="21" t="inlineStr">
        <is>
          <t>Current price</t>
        </is>
      </c>
      <c r="H11" s="21" t="n">
        <v>0</v>
      </c>
      <c r="I11" s="21" t="n"/>
      <c r="O11" s="21" t="inlineStr">
        <is>
          <t>Is there anything I don’t know ?</t>
        </is>
      </c>
    </row>
    <row r="12">
      <c r="G12" s="21" t="inlineStr">
        <is>
          <t>My average cost per share</t>
        </is>
      </c>
      <c r="H12" s="21" t="n"/>
      <c r="I12" s="21" t="n"/>
    </row>
    <row r="13">
      <c r="G13" s="21" t="inlineStr">
        <is>
          <t>Fair value of the stock</t>
        </is>
      </c>
      <c r="H13" s="21" t="n">
        <v>0</v>
      </c>
      <c r="I13" s="21" t="n"/>
    </row>
    <row r="14">
      <c r="G14" s="21" t="inlineStr">
        <is>
          <t>When to buy crazy</t>
        </is>
      </c>
      <c r="H14" s="21" t="n"/>
      <c r="I14" s="21" t="n"/>
    </row>
    <row r="15">
      <c r="G15" s="21" t="inlineStr">
        <is>
          <t>FCF per share</t>
        </is>
      </c>
      <c r="H15" s="21" t="n"/>
      <c r="I15" s="21" t="n"/>
    </row>
    <row r="16">
      <c r="G16" s="21" t="n"/>
      <c r="H16" s="21" t="n"/>
      <c r="I16" s="21" t="n"/>
    </row>
    <row r="17">
      <c r="G17" s="20" t="inlineStr">
        <is>
          <t>Data</t>
        </is>
      </c>
      <c r="H17" s="20" t="inlineStr">
        <is>
          <t>Value</t>
        </is>
      </c>
      <c r="I17" s="20" t="inlineStr">
        <is>
          <t>Type</t>
        </is>
      </c>
      <c r="N17" s="20" t="inlineStr">
        <is>
          <t>CHECKLIST - Why should I buy ?</t>
        </is>
      </c>
    </row>
    <row r="18">
      <c r="G18" s="21" t="inlineStr">
        <is>
          <t>Revenue</t>
        </is>
      </c>
      <c r="H18" s="21" t="n">
        <v>1.684484</v>
      </c>
      <c r="I18" s="21" t="inlineStr">
        <is>
          <t>Billion TTM</t>
        </is>
      </c>
      <c r="O18" s="21" t="inlineStr">
        <is>
          <t>Fair Price today</t>
        </is>
      </c>
    </row>
    <row r="19">
      <c r="G19" s="21" t="inlineStr">
        <is>
          <t>Expenses</t>
        </is>
      </c>
      <c r="H19" s="21" t="n">
        <v>0.377747</v>
      </c>
      <c r="I19" s="21" t="inlineStr">
        <is>
          <t>Billion TTM</t>
        </is>
      </c>
      <c r="O19" s="21" t="inlineStr">
        <is>
          <t>Quality of Management, Culture, Long Tenure</t>
        </is>
      </c>
    </row>
    <row r="20">
      <c r="G20" s="21" t="inlineStr">
        <is>
          <t>Net income</t>
        </is>
      </c>
      <c r="H20" s="21" t="n">
        <v>0.060113</v>
      </c>
      <c r="I20" s="21" t="inlineStr">
        <is>
          <t>Billion TTM</t>
        </is>
      </c>
      <c r="O20" s="21" t="inlineStr">
        <is>
          <t>Low Debt</t>
        </is>
      </c>
    </row>
    <row r="21">
      <c r="G21" s="21" t="inlineStr">
        <is>
          <t>Net income margin</t>
        </is>
      </c>
      <c r="H21" s="21" t="n">
        <v>3.569</v>
      </c>
      <c r="I21" s="21" t="inlineStr">
        <is>
          <t>%</t>
        </is>
      </c>
      <c r="O21" s="21" t="inlineStr">
        <is>
          <t>Asymetric potential - Low downside, High upside</t>
        </is>
      </c>
    </row>
    <row r="22">
      <c r="G22" s="21" t="inlineStr">
        <is>
          <t>EPS</t>
        </is>
      </c>
      <c r="H22" s="21" t="n">
        <v>3.536058823529411</v>
      </c>
      <c r="I22" s="21" t="n"/>
      <c r="O22" s="21" t="inlineStr">
        <is>
          <t>Growth Potential - scale 10x in 10yrs</t>
        </is>
      </c>
    </row>
    <row r="23">
      <c r="G23" s="21" t="inlineStr">
        <is>
          <t>PE ratio</t>
        </is>
      </c>
      <c r="H23" s="21" t="n">
        <v>0</v>
      </c>
      <c r="I23" s="21" t="n"/>
      <c r="O23" s="21" t="inlineStr">
        <is>
          <t>Can it withstand a big recession ?</t>
        </is>
      </c>
    </row>
    <row r="24">
      <c r="G24" s="21" t="n"/>
      <c r="H24" s="21" t="n"/>
      <c r="I24" s="21" t="n"/>
    </row>
    <row r="25">
      <c r="G25" s="21" t="inlineStr">
        <is>
          <t>Assets</t>
        </is>
      </c>
      <c r="H25" s="21" t="n">
        <v>4.595841</v>
      </c>
      <c r="I25" s="21" t="inlineStr">
        <is>
          <t>Billion TTM</t>
        </is>
      </c>
    </row>
    <row r="26">
      <c r="G26" s="21" t="inlineStr">
        <is>
          <t>Liabilities</t>
        </is>
      </c>
      <c r="H26" s="21" t="n">
        <v>3.091241</v>
      </c>
      <c r="I26" s="21" t="inlineStr">
        <is>
          <t>Billion TTM</t>
        </is>
      </c>
    </row>
    <row r="27">
      <c r="G27" s="21" t="inlineStr">
        <is>
          <t>Book value (Share equity)</t>
        </is>
      </c>
      <c r="H27" s="21" t="n">
        <v>24.3639</v>
      </c>
      <c r="I27" s="21" t="n"/>
    </row>
    <row r="28">
      <c r="G28" s="21" t="inlineStr">
        <is>
          <t>Current ratio</t>
        </is>
      </c>
      <c r="H28" s="21" t="n">
        <v>1.486730086719217</v>
      </c>
      <c r="I28" s="21" t="inlineStr">
        <is>
          <t>TTM (Assets TTM / Liabilities TTM)</t>
        </is>
      </c>
    </row>
    <row r="29">
      <c r="G29" s="21" t="inlineStr">
        <is>
          <t>Debt to equity</t>
        </is>
      </c>
      <c r="H29" s="21" t="n">
        <v>1.3999</v>
      </c>
      <c r="I29" s="21" t="n"/>
    </row>
    <row r="30">
      <c r="G30" s="21" t="n"/>
      <c r="H30" s="21" t="n"/>
      <c r="I30" s="21" t="n"/>
    </row>
    <row r="31">
      <c r="G31" s="21" t="inlineStr">
        <is>
          <t>Market cap</t>
        </is>
      </c>
      <c r="H31" s="21" t="n">
        <v>0</v>
      </c>
      <c r="I31" s="21" t="n"/>
    </row>
    <row r="32">
      <c r="G32" s="21" t="inlineStr">
        <is>
          <t>Num shares</t>
        </is>
      </c>
      <c r="H32" s="21" t="n">
        <v>0.017</v>
      </c>
      <c r="I32" s="21" t="inlineStr">
        <is>
          <t>Billion</t>
        </is>
      </c>
    </row>
    <row r="33">
      <c r="G33" s="21" t="inlineStr">
        <is>
          <t>Dividend</t>
        </is>
      </c>
      <c r="H33" s="21" t="n">
        <v>0</v>
      </c>
      <c r="I33" s="21" t="inlineStr">
        <is>
          <t>%</t>
        </is>
      </c>
    </row>
    <row r="34">
      <c r="G34" s="21" t="inlineStr">
        <is>
          <t>Free cash flow</t>
        </is>
      </c>
      <c r="H34" s="21" t="n"/>
      <c r="I34" s="21" t="n"/>
    </row>
    <row r="35">
      <c r="G35" s="21" t="inlineStr">
        <is>
          <t>SGA</t>
        </is>
      </c>
      <c r="H35" s="21" t="n">
        <v>0.377747</v>
      </c>
      <c r="I35" s="21" t="inlineStr">
        <is>
          <t>Billion TTM</t>
        </is>
      </c>
    </row>
    <row r="36">
      <c r="G36" s="21" t="inlineStr">
        <is>
          <t>SGA margin</t>
        </is>
      </c>
      <c r="H36" s="21" t="n">
        <v>74.057</v>
      </c>
      <c r="I36" s="21" t="inlineStr">
        <is>
          <t>%</t>
        </is>
      </c>
    </row>
    <row r="37">
      <c r="G37" s="21" t="inlineStr">
        <is>
          <t>Gross profit</t>
        </is>
      </c>
      <c r="H37" s="21" t="n">
        <v>0.510073</v>
      </c>
      <c r="I37" s="21" t="inlineStr">
        <is>
          <t>Billion TTM</t>
        </is>
      </c>
    </row>
    <row r="38">
      <c r="G38" s="21" t="inlineStr">
        <is>
          <t>Gross margin</t>
        </is>
      </c>
      <c r="H38" s="21" t="n">
        <v>30.281</v>
      </c>
      <c r="I38" s="21" t="inlineStr">
        <is>
          <t>%</t>
        </is>
      </c>
    </row>
    <row r="39">
      <c r="G39" s="21" t="inlineStr">
        <is>
          <t>Cash on hand</t>
        </is>
      </c>
      <c r="H39" s="21" t="n">
        <v>0.050026</v>
      </c>
      <c r="I39" s="21" t="inlineStr">
        <is>
          <t>Billion</t>
        </is>
      </c>
    </row>
    <row r="40">
      <c r="G40" s="21" t="inlineStr">
        <is>
          <t>Cash on hand TTM</t>
        </is>
      </c>
      <c r="H40" s="21" t="n">
        <v>0.390292</v>
      </c>
      <c r="I40" s="21" t="inlineStr">
        <is>
          <t>Billion TTM</t>
        </is>
      </c>
    </row>
    <row r="41">
      <c r="G41" s="21" t="inlineStr">
        <is>
          <t>Long term debt</t>
        </is>
      </c>
      <c r="H41" s="21" t="n">
        <v>0.5197350000000001</v>
      </c>
      <c r="I41" s="21" t="inlineStr">
        <is>
          <t>Billion</t>
        </is>
      </c>
    </row>
    <row r="42">
      <c r="G42" s="21" t="inlineStr">
        <is>
          <t>Long term debt TTM</t>
        </is>
      </c>
      <c r="H42" s="21" t="n">
        <v>1.968754</v>
      </c>
      <c r="I42" s="21" t="inlineStr">
        <is>
          <t>Billion TTM</t>
        </is>
      </c>
    </row>
    <row r="43">
      <c r="G43" s="21" t="inlineStr">
        <is>
          <t>Roi</t>
        </is>
      </c>
      <c r="H43" s="21" t="n">
        <v>1.8457</v>
      </c>
      <c r="I43" s="21" t="n"/>
    </row>
    <row r="44">
      <c r="G44" s="21" t="inlineStr">
        <is>
          <t>Book value TTM</t>
        </is>
      </c>
      <c r="H44" s="21" t="n">
        <v>93.9559</v>
      </c>
      <c r="I44" s="21" t="n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O44"/>
  <sheetViews>
    <sheetView topLeftCell="A4" workbookViewId="0">
      <selection activeCell="I15" sqref="I15"/>
    </sheetView>
  </sheetViews>
  <sheetFormatPr baseColWidth="10" defaultColWidth="9.140625" defaultRowHeight="15"/>
  <cols>
    <col width="22.42578125" customWidth="1" min="7" max="7"/>
  </cols>
  <sheetData>
    <row r="1">
      <c r="A1" s="22" t="inlineStr">
        <is>
          <t>Date</t>
        </is>
      </c>
      <c r="B1" s="22" t="inlineStr">
        <is>
          <t>Qty</t>
        </is>
      </c>
      <c r="C1" s="22" t="inlineStr">
        <is>
          <t>Cost per share</t>
        </is>
      </c>
      <c r="D1" s="22" t="inlineStr">
        <is>
          <t>Total Cost</t>
        </is>
      </c>
    </row>
    <row r="5">
      <c r="G5" s="23" t="inlineStr">
        <is>
          <t>Last Reviewed</t>
        </is>
      </c>
      <c r="H5" s="22" t="inlineStr">
        <is>
          <t>2024/06/30</t>
        </is>
      </c>
      <c r="N5" s="22" t="inlineStr">
        <is>
          <t>CHECKLIST - Why should I NOT buy ?</t>
        </is>
      </c>
    </row>
    <row r="6">
      <c r="G6" s="23" t="inlineStr">
        <is>
          <t>Company</t>
        </is>
      </c>
      <c r="O6" s="23" t="inlineStr">
        <is>
          <t>Asymetric Risk - High downside, Low upside</t>
        </is>
      </c>
    </row>
    <row r="7">
      <c r="G7" s="23" t="inlineStr">
        <is>
          <t>Stock ticker</t>
        </is>
      </c>
      <c r="H7" s="22" t="inlineStr">
        <is>
          <t>AAPL</t>
        </is>
      </c>
      <c r="O7" s="23" t="inlineStr">
        <is>
          <t>Potential for technology disruption</t>
        </is>
      </c>
    </row>
    <row r="8">
      <c r="G8" s="23" t="inlineStr">
        <is>
          <t>My Money</t>
        </is>
      </c>
      <c r="O8" s="23" t="inlineStr">
        <is>
          <t>Inversion - What could kill the company ?</t>
        </is>
      </c>
    </row>
    <row r="9">
      <c r="G9" s="23" t="n"/>
      <c r="O9" s="23" t="inlineStr">
        <is>
          <t>High Cyclical Variation ?</t>
        </is>
      </c>
    </row>
    <row r="10">
      <c r="G10" s="23" t="n"/>
      <c r="O10" s="23" t="inlineStr">
        <is>
          <t>Am I paying too high price ?</t>
        </is>
      </c>
    </row>
    <row r="11">
      <c r="G11" s="23" t="inlineStr">
        <is>
          <t>Current price</t>
        </is>
      </c>
      <c r="H11" s="23" t="n">
        <v>0</v>
      </c>
      <c r="I11" s="23" t="n"/>
      <c r="O11" s="23" t="inlineStr">
        <is>
          <t>Is there anything I don’t know ?</t>
        </is>
      </c>
    </row>
    <row r="12">
      <c r="G12" s="23" t="inlineStr">
        <is>
          <t>My average cost per share</t>
        </is>
      </c>
      <c r="H12" s="23" t="n"/>
      <c r="I12" s="23" t="n"/>
    </row>
    <row r="13">
      <c r="G13" s="23" t="inlineStr">
        <is>
          <t>Fair value of the stock</t>
        </is>
      </c>
      <c r="H13" s="23" t="n">
        <v>0</v>
      </c>
      <c r="I13" s="23" t="n"/>
    </row>
    <row r="14">
      <c r="G14" s="23" t="inlineStr">
        <is>
          <t>When to buy crazy</t>
        </is>
      </c>
      <c r="H14" s="23" t="n"/>
      <c r="I14" s="23" t="n"/>
    </row>
    <row r="15">
      <c r="G15" s="23" t="inlineStr">
        <is>
          <t>FCF per share</t>
        </is>
      </c>
      <c r="H15" s="23" t="n"/>
      <c r="I15" s="23" t="n"/>
    </row>
    <row r="16">
      <c r="G16" s="23" t="n"/>
      <c r="H16" s="23" t="n"/>
      <c r="I16" s="23" t="n"/>
    </row>
    <row r="17">
      <c r="G17" s="22" t="inlineStr">
        <is>
          <t>Data</t>
        </is>
      </c>
      <c r="H17" s="22" t="inlineStr">
        <is>
          <t>Value</t>
        </is>
      </c>
      <c r="I17" s="22" t="inlineStr">
        <is>
          <t>Type</t>
        </is>
      </c>
      <c r="N17" s="22" t="inlineStr">
        <is>
          <t>CHECKLIST - Why should I buy ?</t>
        </is>
      </c>
    </row>
    <row r="18">
      <c r="G18" s="23" t="inlineStr">
        <is>
          <t>Revenue</t>
        </is>
      </c>
      <c r="H18" s="23" t="n">
        <v>385.603</v>
      </c>
      <c r="I18" s="23" t="inlineStr">
        <is>
          <t>Billion TTM</t>
        </is>
      </c>
      <c r="O18" s="23" t="inlineStr">
        <is>
          <t>Fair Price today</t>
        </is>
      </c>
    </row>
    <row r="19">
      <c r="G19" s="23" t="inlineStr">
        <is>
          <t>Expenses</t>
        </is>
      </c>
      <c r="H19" s="23" t="n">
        <v>0.056637</v>
      </c>
      <c r="I19" s="23" t="inlineStr">
        <is>
          <t>Billion TTM</t>
        </is>
      </c>
      <c r="O19" s="23" t="inlineStr">
        <is>
          <t>Quality of Management, Culture, Long Tenure</t>
        </is>
      </c>
    </row>
    <row r="20">
      <c r="G20" s="23" t="inlineStr">
        <is>
          <t>Net income</t>
        </is>
      </c>
      <c r="H20" s="23" t="n">
        <v>0.101956</v>
      </c>
      <c r="I20" s="23" t="inlineStr">
        <is>
          <t>Billion TTM</t>
        </is>
      </c>
      <c r="O20" s="23" t="inlineStr">
        <is>
          <t>Low Debt</t>
        </is>
      </c>
    </row>
    <row r="21">
      <c r="G21" s="23" t="inlineStr">
        <is>
          <t>Net income margin</t>
        </is>
      </c>
      <c r="H21" s="23" t="n">
        <v>0.026</v>
      </c>
      <c r="I21" s="23" t="inlineStr">
        <is>
          <t>%</t>
        </is>
      </c>
      <c r="O21" s="23" t="inlineStr">
        <is>
          <t>Asymetric potential - Low downside, High upside</t>
        </is>
      </c>
    </row>
    <row r="22">
      <c r="G22" s="23" t="inlineStr">
        <is>
          <t>EPS</t>
        </is>
      </c>
      <c r="H22" s="23" t="n">
        <v>6.642950221527234</v>
      </c>
      <c r="I22" s="23" t="n"/>
      <c r="O22" s="23" t="inlineStr">
        <is>
          <t>Growth Potential - scale 10x in 10yrs</t>
        </is>
      </c>
    </row>
    <row r="23">
      <c r="G23" s="23" t="inlineStr">
        <is>
          <t>PE ratio</t>
        </is>
      </c>
      <c r="H23" s="23" t="n">
        <v>0</v>
      </c>
      <c r="I23" s="23" t="n"/>
      <c r="O23" s="23" t="inlineStr">
        <is>
          <t>Can it withstand a big recession ?</t>
        </is>
      </c>
    </row>
    <row r="24">
      <c r="G24" s="23" t="n"/>
      <c r="H24" s="23" t="n"/>
      <c r="I24" s="23" t="n"/>
    </row>
    <row r="25">
      <c r="G25" s="23" t="inlineStr">
        <is>
          <t>Assets</t>
        </is>
      </c>
      <c r="H25" s="23" t="n">
        <v>1375.12</v>
      </c>
      <c r="I25" s="23" t="inlineStr">
        <is>
          <t>Billion TTM</t>
        </is>
      </c>
    </row>
    <row r="26">
      <c r="G26" s="23" t="inlineStr">
        <is>
          <t>Liabilities</t>
        </is>
      </c>
      <c r="H26" s="23" t="n">
        <v>1097.972</v>
      </c>
      <c r="I26" s="23" t="inlineStr">
        <is>
          <t>Billion TTM</t>
        </is>
      </c>
    </row>
    <row r="27">
      <c r="G27" s="23" t="inlineStr">
        <is>
          <t>Book value (Share equity)</t>
        </is>
      </c>
      <c r="H27" s="23" t="n">
        <v>4.3823</v>
      </c>
      <c r="I27" s="23" t="n"/>
    </row>
    <row r="28">
      <c r="G28" s="23" t="inlineStr">
        <is>
          <t>Current ratio</t>
        </is>
      </c>
      <c r="H28" s="23" t="n">
        <v>1.252418094450496</v>
      </c>
      <c r="I28" s="23" t="inlineStr">
        <is>
          <t>TTM (Assets TTM / Liabilities TTM)</t>
        </is>
      </c>
    </row>
    <row r="29">
      <c r="G29" s="23" t="inlineStr">
        <is>
          <t>Debt to equity</t>
        </is>
      </c>
      <c r="H29" s="23" t="n">
        <v>1.5186</v>
      </c>
      <c r="I29" s="23" t="n"/>
    </row>
    <row r="30">
      <c r="G30" s="23" t="n"/>
      <c r="H30" s="23" t="n"/>
      <c r="I30" s="23" t="n"/>
    </row>
    <row r="31">
      <c r="G31" s="23" t="inlineStr">
        <is>
          <t>Market cap</t>
        </is>
      </c>
      <c r="H31" s="23" t="n">
        <v>0</v>
      </c>
      <c r="I31" s="23" t="n"/>
    </row>
    <row r="32">
      <c r="G32" s="23" t="inlineStr">
        <is>
          <t>Num shares</t>
        </is>
      </c>
      <c r="H32" s="23" t="n">
        <v>0.015348</v>
      </c>
      <c r="I32" s="23" t="inlineStr">
        <is>
          <t>Billion</t>
        </is>
      </c>
    </row>
    <row r="33">
      <c r="G33" s="23" t="inlineStr">
        <is>
          <t>Dividend</t>
        </is>
      </c>
      <c r="H33" s="23" t="n">
        <v>0.44</v>
      </c>
      <c r="I33" s="23" t="inlineStr">
        <is>
          <t>%</t>
        </is>
      </c>
    </row>
    <row r="34">
      <c r="G34" s="23" t="inlineStr">
        <is>
          <t>Free cash flow</t>
        </is>
      </c>
      <c r="H34" s="23" t="n"/>
      <c r="I34" s="23" t="n"/>
    </row>
    <row r="35">
      <c r="G35" s="23" t="inlineStr">
        <is>
          <t>SGA</t>
        </is>
      </c>
      <c r="H35" s="23" t="n">
        <v>0.025725</v>
      </c>
      <c r="I35" s="23" t="inlineStr">
        <is>
          <t>Billion TTM</t>
        </is>
      </c>
    </row>
    <row r="36">
      <c r="G36" s="23" t="inlineStr">
        <is>
          <t>SGA margin</t>
        </is>
      </c>
      <c r="H36" s="23" t="n">
        <v>0.015</v>
      </c>
      <c r="I36" s="23" t="inlineStr">
        <is>
          <t>%</t>
        </is>
      </c>
    </row>
    <row r="37">
      <c r="G37" s="23" t="inlineStr">
        <is>
          <t>Gross profit</t>
        </is>
      </c>
      <c r="H37" s="23" t="n">
        <v>177.231</v>
      </c>
      <c r="I37" s="23" t="inlineStr">
        <is>
          <t>Billion TTM</t>
        </is>
      </c>
    </row>
    <row r="38">
      <c r="G38" s="23" t="inlineStr">
        <is>
          <t>Gross margin</t>
        </is>
      </c>
      <c r="H38" s="23" t="n">
        <v>45.962</v>
      </c>
      <c r="I38" s="23" t="inlineStr">
        <is>
          <t>%</t>
        </is>
      </c>
    </row>
    <row r="39">
      <c r="G39" s="23" t="inlineStr">
        <is>
          <t>Cash on hand</t>
        </is>
      </c>
      <c r="H39" s="23" t="n">
        <v>61.801</v>
      </c>
      <c r="I39" s="23" t="inlineStr">
        <is>
          <t>Billion</t>
        </is>
      </c>
    </row>
    <row r="40">
      <c r="G40" s="23" t="inlineStr">
        <is>
          <t>Cash on hand TTM</t>
        </is>
      </c>
      <c r="H40" s="23" t="n">
        <v>263.606</v>
      </c>
      <c r="I40" s="23" t="inlineStr">
        <is>
          <t>Billion TTM</t>
        </is>
      </c>
    </row>
    <row r="41">
      <c r="G41" s="23" t="inlineStr">
        <is>
          <t>Long term debt</t>
        </is>
      </c>
      <c r="H41" s="23" t="n">
        <v>86.196</v>
      </c>
      <c r="I41" s="23" t="inlineStr">
        <is>
          <t>Billion</t>
        </is>
      </c>
    </row>
    <row r="42">
      <c r="G42" s="23" t="inlineStr">
        <is>
          <t>Long term debt TTM</t>
        </is>
      </c>
      <c r="H42" s="23" t="n">
        <v>368.396</v>
      </c>
      <c r="I42" s="23" t="inlineStr">
        <is>
          <t>Billion TTM</t>
        </is>
      </c>
    </row>
    <row r="43">
      <c r="G43" s="23" t="inlineStr">
        <is>
          <t>Roi</t>
        </is>
      </c>
      <c r="H43" s="23" t="n">
        <v>14.0271</v>
      </c>
      <c r="I43" s="23" t="n"/>
    </row>
    <row r="44">
      <c r="G44" s="23" t="inlineStr">
        <is>
          <t>Book value TTM</t>
        </is>
      </c>
      <c r="H44" s="23" t="n">
        <v>18.0091</v>
      </c>
      <c r="I44" s="23" t="n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2024-09-07T21:22:33Z</dcterms:created>
  <dcterms:modified xsi:type="dcterms:W3CDTF">2024-10-03T03:50:24Z</dcterms:modified>
  <cp:lastModifiedBy>Familia</cp:lastModifiedBy>
</cp:coreProperties>
</file>