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2"/>
  </bookViews>
  <sheets>
    <sheet name="SUMMARY" sheetId="1" r:id="rId1"/>
    <sheet name="ROP" sheetId="2" r:id="rId2"/>
    <sheet name="DXPE" sheetId="3" r:id="rId3"/>
    <sheet name="Functions" sheetId="4" r:id="rId4"/>
    <sheet name="AAPL" sheetId="5" r:id="rId5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3" i="3"/>
  <c r="H22" i="3"/>
  <c r="H21" i="3"/>
  <c r="Q20" i="3"/>
  <c r="H15" i="3"/>
  <c r="H13" i="3"/>
  <c r="K13" i="3" s="1"/>
  <c r="K12" i="3"/>
  <c r="H12" i="3"/>
  <c r="D9" i="1" s="1"/>
  <c r="D6" i="3"/>
  <c r="D5" i="3"/>
  <c r="H8" i="3" s="1"/>
  <c r="H26" i="2"/>
  <c r="H25" i="2"/>
  <c r="H24" i="2"/>
  <c r="J20" i="2"/>
  <c r="H20" i="2"/>
  <c r="H19" i="2"/>
  <c r="Q18" i="2"/>
  <c r="H13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<sst xmlns="http://schemas.openxmlformats.org/spreadsheetml/2006/main" count="248" uniqueCount="120">
  <si>
    <t>Symbol to add or update</t>
  </si>
  <si>
    <t xml:space="preserve">My email is </t>
  </si>
  <si>
    <t xml:space="preserve">BUTTON </t>
  </si>
  <si>
    <t>INTC</t>
  </si>
  <si>
    <t>duminda_dewa@yahoo.com</t>
  </si>
  <si>
    <t>if you want to reach me directly in the future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</si>
  <si>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</si>
  <si>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</si>
  <si>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</si>
  <si>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</si>
  <si>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</si>
  <si>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</si>
  <si>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</si>
  <si>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</si>
  <si>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</si>
  <si>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</si>
  <si>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</si>
  <si>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</si>
  <si>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</si>
  <si>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</si>
  <si>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</si>
  <si>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</si>
  <si>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</si>
  <si>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</si>
  <si>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</si>
  <si>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</si>
  <si>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</si>
  <si>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</si>
  <si>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</si>
  <si>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</si>
  <si>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</si>
  <si>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</si>
  <si>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</si>
  <si>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</si>
  <si>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</si>
  <si>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</si>
  <si>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</si>
  <si>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</si>
  <si>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</si>
  <si>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</si>
  <si>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</si>
  <si>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</si>
  <si>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</si>
  <si>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</si>
  <si>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</si>
  <si>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</si>
  <si>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</si>
  <si>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</si>
  <si>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</si>
  <si>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</si>
  <si>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</si>
  <si>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</si>
  <si>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</si>
  <si>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</si>
  <si>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</si>
  <si>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</si>
  <si>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</si>
  <si>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</si>
  <si>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</si>
  <si>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</si>
  <si>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</si>
  <si>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</si>
  <si>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</si>
  <si>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</si>
  <si>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</si>
  <si>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</si>
  <si>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</si>
  <si>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</si>
  <si>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</si>
  <si>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</si>
  <si>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</si>
  <si>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</si>
  <si>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</si>
  <si>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</si>
  <si>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</si>
  <si>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</si>
  <si>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</si>
  <si>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</si>
  <si>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</si>
  <si>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</si>
  <si>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</si>
  <si>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</si>
  <si>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</si>
  <si>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</si>
  <si>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</si>
  <si>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</si>
  <si>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</si>
  <si>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</si>
  <si>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</si>
  <si>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</si>
  <si>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</si>
  <si>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</si>
  <si>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</si>
  <si>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</si>
  <si>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</si>
  <si>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</si>
  <si>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</si>
  <si>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</si>
  <si>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</si>
  <si>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</si>
  <si>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</si>
  <si>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</si>
  <si>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</si>
  <si>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</si>
  <si>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</si>
  <si>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</si>
  <si>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</si>
  <si>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</si>
  <si>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</si>
  <si>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</si>
  <si>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</si>
  <si>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</si>
  <si>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 xml:space="preserve">Symbol: </t>
  </si>
  <si>
    <t>AAPL</t>
  </si>
  <si>
    <t>Last Reviewed</t>
  </si>
  <si>
    <t>Company</t>
  </si>
  <si>
    <t>Stock ticker</t>
  </si>
  <si>
    <t>Is there anything I don’t know ?</t>
  </si>
  <si>
    <t>Revenue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</si>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</sst>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  <font>
      <b/>
      <sz val="11"/>
      <color rgb="FF000000"/>
      <name val="Arial Nova Cond"/>
    </font>
    <font>
      <sz val="11"/>
      <color rgb="FF000000"/>
      <name val="Arial Nova Cond"/>
    </font>
    <font>
      <sz val="11"/>
      <color rgb="FF808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70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25" fillId="0" borderId="0" xfId="0" applyFont="1"/>
    <xf numFmtId="0" fontId="0" fillId="3" borderId="0" xfId="0" applyFill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20" fillId="0" borderId="0" xfId="0" applyNumberFormat="1" applyFont="1"/>
    <xf numFmtId="164" fontId="5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0" fontId="26" fillId="0" borderId="0" xfId="0" applyFont="1"/>
    <xf numFmtId="0" fontId="27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3</xdr:col>
          <xdr:colOff>19050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9</xdr:row>
          <xdr:rowOff>19050</xdr:rowOff>
        </xdr:from>
        <xdr:to>
          <xdr:col>6</xdr:col>
          <xdr:colOff>19050</xdr:colOff>
          <xdr:row>10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uminda_dewa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26" width="9.140625" style="3" customWidth="1"/>
    <col min="27" max="16384" width="9.140625" style="3"/>
  </cols>
  <sheetData>
    <row r="2" spans="1:16" ht="15" customHeight="1" thickBot="1">
      <c r="C2" s="3" t="s">
        <v>0</v>
      </c>
      <c r="F2" s="44" t="s">
        <v>1</v>
      </c>
    </row>
    <row r="3" spans="1:16" ht="15.75" customHeight="1" thickBot="1">
      <c r="B3" s="41" t="s">
        <v>2</v>
      </c>
      <c r="C3" s="42" t="s">
        <v>3</v>
      </c>
      <c r="F3" s="45" t="s">
        <v>4</v>
      </c>
    </row>
    <row r="4" spans="1:16">
      <c r="F4" s="44" t="s">
        <v>5</v>
      </c>
    </row>
    <row r="7" spans="1:16" s="2" customFormat="1" ht="15" customHeight="1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I7" s="2" t="s">
        <v>13</v>
      </c>
      <c r="J7" s="2" t="s">
        <v>14</v>
      </c>
      <c r="K7" s="2" t="s">
        <v>15</v>
      </c>
      <c r="L7" s="2" t="s">
        <v>16</v>
      </c>
    </row>
    <row r="8" spans="1:16">
      <c r="A8" s="3" t="s">
        <v>17</v>
      </c>
      <c r="B8" s="3" t="s">
        <v>18</v>
      </c>
      <c r="C8" s="3">
        <f>SUM(ROP!B5:B16)</f>
        <v>12.035</v>
      </c>
      <c r="D8" s="40">
        <f>ROP!H12</f>
        <v>516.67432502700444</v>
      </c>
      <c r="L8" s="35"/>
      <c r="M8" s="35"/>
      <c r="N8" s="35"/>
      <c r="O8" s="35"/>
      <c r="P8" s="35"/>
    </row>
    <row r="9" spans="1:16">
      <c r="A9" s="3" t="s">
        <v>19</v>
      </c>
      <c r="B9" s="3" t="s">
        <v>20</v>
      </c>
      <c r="C9" s="43">
        <f>SUM(DXPE!B5:B19)</f>
        <v>40</v>
      </c>
      <c r="D9" s="40">
        <f>DXPE!H12</f>
        <v>55.625</v>
      </c>
      <c r="L9" s="35"/>
      <c r="M9" s="35"/>
      <c r="N9" s="35"/>
      <c r="O9" s="35"/>
      <c r="P9" s="35"/>
    </row>
    <row r="10" spans="1:16">
      <c r="L10" s="35"/>
      <c r="M10" s="35"/>
      <c r="N10" s="35"/>
      <c r="O10" s="35"/>
      <c r="P10" s="35"/>
    </row>
    <row r="11" spans="1:16" ht="15" customHeight="1">
      <c r="C11" s="36"/>
      <c r="L11" s="35"/>
      <c r="M11" s="35"/>
      <c r="N11" s="35"/>
      <c r="O11" s="35"/>
      <c r="P11" s="35"/>
    </row>
    <row r="12" spans="1:16" ht="15" customHeight="1">
      <c r="C12" s="36"/>
      <c r="L12" s="35"/>
      <c r="M12" s="35"/>
      <c r="N12" s="35"/>
      <c r="O12" s="35"/>
      <c r="P12" s="35"/>
    </row>
    <row r="13" spans="1:16" ht="15" customHeight="1">
      <c r="C13" s="36"/>
      <c r="L13" s="35"/>
      <c r="M13" s="35"/>
      <c r="N13" s="35"/>
      <c r="O13" s="35"/>
      <c r="P13" s="35"/>
    </row>
    <row r="14" spans="1:16" ht="15" customHeight="1">
      <c r="C14" s="36"/>
      <c r="L14" s="35"/>
      <c r="M14" s="35"/>
      <c r="N14" s="35"/>
      <c r="O14" s="35"/>
      <c r="P14" s="35"/>
    </row>
    <row r="15" spans="1:16" ht="15" customHeight="1">
      <c r="C15" s="36"/>
      <c r="L15" s="35"/>
      <c r="M15" s="35"/>
      <c r="N15" s="35"/>
      <c r="O15" s="35"/>
      <c r="P15" s="35"/>
    </row>
    <row r="16" spans="1:16" ht="15" customHeight="1">
      <c r="C16" s="36"/>
      <c r="L16" s="35"/>
      <c r="M16" s="35"/>
      <c r="N16" s="35"/>
      <c r="O16" s="35"/>
      <c r="P16" s="35"/>
    </row>
    <row r="17" spans="3:16" ht="15" customHeight="1">
      <c r="C17" s="36"/>
      <c r="L17" s="35"/>
      <c r="M17" s="35"/>
      <c r="N17" s="35"/>
      <c r="O17" s="35"/>
      <c r="P17" s="35"/>
    </row>
    <row r="18" spans="3:16" ht="15" customHeight="1">
      <c r="C18" s="36"/>
      <c r="L18" s="35"/>
      <c r="M18" s="35"/>
      <c r="N18" s="35"/>
      <c r="O18" s="35"/>
      <c r="P18" s="35"/>
    </row>
    <row r="19" spans="3:16" ht="15" customHeight="1">
      <c r="C19" s="36"/>
      <c r="L19" s="35"/>
      <c r="M19" s="35"/>
      <c r="N19" s="35"/>
      <c r="O19" s="35"/>
      <c r="P19" s="35"/>
    </row>
    <row r="20" spans="3:16" ht="15" customHeight="1">
      <c r="C20" s="37"/>
      <c r="L20" s="35"/>
      <c r="M20" s="35"/>
      <c r="N20" s="35"/>
      <c r="O20" s="35"/>
      <c r="P20" s="35"/>
    </row>
    <row r="21" spans="3:16" ht="15" customHeight="1">
      <c r="C21" s="36"/>
      <c r="L21" s="35"/>
      <c r="M21" s="35"/>
      <c r="N21" s="35"/>
      <c r="O21" s="35"/>
      <c r="P21" s="35"/>
    </row>
    <row r="22" spans="3:16" ht="15" customHeight="1">
      <c r="C22" s="36"/>
      <c r="L22" s="35"/>
      <c r="M22" s="35"/>
      <c r="N22" s="35"/>
      <c r="O22" s="35"/>
      <c r="P22" s="35"/>
    </row>
    <row r="23" spans="3:16" ht="15" customHeight="1">
      <c r="C23" s="36"/>
      <c r="L23" s="35"/>
      <c r="M23" s="35"/>
      <c r="N23" s="35"/>
      <c r="O23" s="35"/>
      <c r="P23" s="35"/>
    </row>
    <row r="24" spans="3:16" ht="15" customHeight="1">
      <c r="C24" s="36"/>
      <c r="L24" s="35"/>
      <c r="M24" s="35"/>
      <c r="N24" s="35"/>
      <c r="O24" s="35"/>
      <c r="P24" s="35"/>
    </row>
    <row r="25" spans="3:16" ht="15" customHeight="1">
      <c r="C25" s="36"/>
      <c r="L25" s="35"/>
      <c r="M25" s="35"/>
      <c r="N25" s="35"/>
      <c r="O25" s="35"/>
      <c r="P25" s="35"/>
    </row>
    <row r="26" spans="3:16" ht="15" customHeight="1">
      <c r="C26" s="37"/>
      <c r="L26" s="35"/>
      <c r="M26" s="35"/>
      <c r="N26" s="35"/>
      <c r="O26" s="35"/>
      <c r="P26" s="35"/>
    </row>
    <row r="27" spans="3:16">
      <c r="L27" s="35"/>
      <c r="M27" s="35"/>
      <c r="N27" s="35"/>
      <c r="O27" s="35"/>
      <c r="P27" s="35"/>
    </row>
    <row r="28" spans="3:16">
      <c r="L28" s="35"/>
      <c r="M28" s="35"/>
      <c r="N28" s="35"/>
      <c r="O28" s="35"/>
      <c r="P28" s="35"/>
    </row>
    <row r="29" spans="3:16">
      <c r="L29" s="35"/>
      <c r="M29" s="35"/>
      <c r="N29" s="35"/>
      <c r="O29" s="35"/>
      <c r="P29" s="35"/>
    </row>
    <row r="30" spans="3:16">
      <c r="L30" s="35"/>
      <c r="M30" s="35"/>
      <c r="N30" s="35"/>
      <c r="O30" s="35"/>
      <c r="P30" s="35"/>
    </row>
    <row r="31" spans="3:16">
      <c r="L31" s="35"/>
      <c r="M31" s="35"/>
      <c r="N31" s="35"/>
      <c r="O31" s="35"/>
      <c r="P31" s="35"/>
    </row>
    <row r="32" spans="3:16">
      <c r="L32" s="35"/>
      <c r="M32" s="35"/>
      <c r="N32" s="35"/>
      <c r="O32" s="35"/>
      <c r="P32" s="35"/>
    </row>
    <row r="33" spans="12:16">
      <c r="L33" s="35"/>
      <c r="M33" s="35"/>
      <c r="N33" s="35"/>
      <c r="O33" s="35"/>
      <c r="P33" s="35"/>
    </row>
    <row r="34" spans="12:16">
      <c r="L34" s="35"/>
      <c r="M34" s="35"/>
      <c r="N34" s="35"/>
      <c r="O34" s="35"/>
      <c r="P34" s="35"/>
    </row>
    <row r="37" spans="12:16" s="34" customFormat="1" ht="15" customHeight="1">
      <c r="M37" s="3"/>
    </row>
    <row r="63" spans="7:7" ht="15" customHeight="1">
      <c r="G63" s="1"/>
    </row>
    <row r="67" ht="15" customHeight="1"/>
  </sheetData>
  <hyperlinks>
    <hyperlink ref="F3" r:id="rId1"/>
  </hyperlinks>
  <pageMargins left="0.7" right="0.7" top="0.75" bottom="0.75" header="0.3" footer="0.3"/>
  <pageSetup orientation="portrait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topLeftCell="A4" zoomScaleNormal="100" workbookViewId="0">
      <pane xSplit="5" topLeftCell="N1" activePane="topRight" state="frozen"/>
      <selection pane="topRight" activeCell="N14" sqref="N14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21.7109375" style="49" customWidth="1"/>
    <col min="5" max="5" width="13.140625" style="19" hidden="1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2.7109375" style="19" customWidth="1"/>
    <col min="10" max="11" width="9.140625" style="19" customWidth="1"/>
    <col min="12" max="12" width="38.28515625" style="19" hidden="1" customWidth="1"/>
    <col min="13" max="13" width="2.5703125" style="21" customWidth="1"/>
    <col min="14" max="23" width="9.140625" style="33" customWidth="1"/>
    <col min="24" max="37" width="9.140625" style="19" customWidth="1"/>
    <col min="38" max="16384" width="9.140625" style="19"/>
  </cols>
  <sheetData>
    <row r="1" spans="1:25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5" s="14" customFormat="1" ht="15" customHeight="1">
      <c r="A2" s="12"/>
      <c r="B2" s="13"/>
      <c r="C2" s="50"/>
      <c r="D2" s="50"/>
      <c r="H2" s="15"/>
      <c r="M2" s="16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1:25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  <c r="P3" s="32"/>
      <c r="Q3" s="32"/>
      <c r="R3" s="32"/>
      <c r="S3" s="32"/>
      <c r="T3" s="32"/>
      <c r="U3" s="32"/>
      <c r="V3" s="32"/>
      <c r="W3" s="32"/>
    </row>
    <row r="4" spans="1:25" s="14" customFormat="1" ht="15" customHeight="1">
      <c r="A4" s="12"/>
      <c r="B4" s="13"/>
      <c r="C4" s="50"/>
      <c r="D4" s="50"/>
      <c r="H4" s="15"/>
      <c r="M4" s="16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5" ht="15" customHeight="1">
      <c r="A5" s="17">
        <v>45404</v>
      </c>
      <c r="B5" s="56">
        <v>1.7000000000000001E-2</v>
      </c>
      <c r="C5" s="49">
        <v>538.89769999999999</v>
      </c>
      <c r="D5" s="49">
        <v>9.1612609000000003</v>
      </c>
      <c r="G5" s="19" t="s">
        <v>26</v>
      </c>
      <c r="H5" s="20">
        <v>45460</v>
      </c>
      <c r="N5" s="31" t="s">
        <v>27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5" customHeight="1">
      <c r="A6" s="17">
        <v>45335</v>
      </c>
      <c r="B6" s="18">
        <v>2</v>
      </c>
      <c r="C6" s="49">
        <v>537.11</v>
      </c>
      <c r="D6" s="49">
        <v>1074.22</v>
      </c>
      <c r="G6" s="19" t="s">
        <v>28</v>
      </c>
      <c r="H6" s="22" t="s">
        <v>17</v>
      </c>
      <c r="N6" s="31" t="s">
        <v>29</v>
      </c>
      <c r="O6" s="39" t="s">
        <v>30</v>
      </c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5" customHeight="1">
      <c r="A7" s="17">
        <v>45320</v>
      </c>
      <c r="B7" s="18">
        <v>1</v>
      </c>
      <c r="C7" s="49">
        <v>549.30999999999995</v>
      </c>
      <c r="D7" s="49">
        <v>549.30999999999995</v>
      </c>
      <c r="G7" s="19" t="s">
        <v>31</v>
      </c>
      <c r="H7" s="15" t="s">
        <v>32</v>
      </c>
      <c r="N7" s="31" t="s">
        <v>33</v>
      </c>
      <c r="O7" s="39" t="s">
        <v>34</v>
      </c>
      <c r="P7" s="39"/>
      <c r="Q7" s="39"/>
      <c r="R7" s="39"/>
      <c r="S7" s="39"/>
      <c r="T7" s="39" t="s">
        <v>35</v>
      </c>
      <c r="U7" s="39"/>
      <c r="V7" s="39"/>
      <c r="W7" s="39"/>
      <c r="X7" s="39"/>
      <c r="Y7" s="39"/>
    </row>
    <row r="8" spans="1:25" ht="15" customHeight="1">
      <c r="A8" s="17">
        <v>45314</v>
      </c>
      <c r="B8" s="56">
        <v>1.0999999999999999E-2</v>
      </c>
      <c r="C8" s="49">
        <v>550</v>
      </c>
      <c r="D8" s="49">
        <v>6.05</v>
      </c>
      <c r="G8" s="19" t="s">
        <v>36</v>
      </c>
      <c r="H8" s="57">
        <f>SUM(D2:D200)</f>
        <v>6218.1755016999987</v>
      </c>
      <c r="N8" s="31" t="s">
        <v>29</v>
      </c>
      <c r="O8" s="39" t="s">
        <v>37</v>
      </c>
      <c r="P8" s="39"/>
      <c r="Q8" s="39"/>
      <c r="R8" s="39"/>
      <c r="S8" s="39"/>
      <c r="T8" s="39" t="s">
        <v>38</v>
      </c>
      <c r="U8" s="39"/>
      <c r="V8" s="39"/>
      <c r="W8" s="39"/>
      <c r="X8" s="39"/>
      <c r="Y8" s="39"/>
    </row>
    <row r="9" spans="1:25" ht="15" customHeight="1">
      <c r="A9" s="17">
        <v>45310</v>
      </c>
      <c r="B9" s="18">
        <v>1</v>
      </c>
      <c r="C9" s="49">
        <v>543.29999999999995</v>
      </c>
      <c r="D9" s="49">
        <v>543.29999999999995</v>
      </c>
      <c r="N9" s="31" t="s">
        <v>29</v>
      </c>
      <c r="O9" s="39" t="s">
        <v>39</v>
      </c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15" customHeight="1">
      <c r="A10" s="17">
        <v>45251</v>
      </c>
      <c r="B10" s="18">
        <v>2</v>
      </c>
      <c r="C10" s="49">
        <v>524.52</v>
      </c>
      <c r="D10" s="49">
        <v>1049.04</v>
      </c>
      <c r="N10" s="31" t="s">
        <v>33</v>
      </c>
      <c r="O10" s="39" t="s">
        <v>40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</row>
    <row r="11" spans="1:25" ht="15" customHeight="1">
      <c r="A11" s="17">
        <v>45236</v>
      </c>
      <c r="B11" s="18">
        <v>1</v>
      </c>
      <c r="C11" s="49">
        <v>504.66</v>
      </c>
      <c r="D11" s="49">
        <v>504.66</v>
      </c>
      <c r="G11" s="19" t="s">
        <v>41</v>
      </c>
      <c r="H11" s="51">
        <v>550</v>
      </c>
      <c r="N11" s="31" t="s">
        <v>42</v>
      </c>
      <c r="O11" s="39" t="s">
        <v>43</v>
      </c>
      <c r="P11" s="39"/>
      <c r="Q11" s="39"/>
      <c r="R11" s="39"/>
      <c r="S11" s="39"/>
      <c r="T11" s="39" t="s">
        <v>44</v>
      </c>
      <c r="U11" s="39"/>
      <c r="V11" s="39"/>
      <c r="W11" s="39"/>
      <c r="X11" s="39"/>
      <c r="Y11" s="39"/>
    </row>
    <row r="12" spans="1:25" ht="15" customHeight="1">
      <c r="A12" s="17">
        <v>45222</v>
      </c>
      <c r="B12" s="56">
        <v>7.0000000000000001E-3</v>
      </c>
      <c r="C12" s="49">
        <v>482.03440000000001</v>
      </c>
      <c r="D12" s="49">
        <v>3.3742407999999999</v>
      </c>
      <c r="G12" s="19" t="s">
        <v>45</v>
      </c>
      <c r="H12" s="52">
        <f>SUM(D2:D200)/J12</f>
        <v>516.67432502700444</v>
      </c>
      <c r="I12" s="19" t="s">
        <v>46</v>
      </c>
      <c r="J12" s="56">
        <f>SUM(B2:B200)</f>
        <v>12.035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ht="15" customHeight="1">
      <c r="A13" s="17">
        <v>45189</v>
      </c>
      <c r="B13" s="18">
        <v>2</v>
      </c>
      <c r="C13" s="49">
        <v>503.18</v>
      </c>
      <c r="D13" s="49">
        <v>1006.36</v>
      </c>
      <c r="G13" s="19" t="s">
        <v>47</v>
      </c>
      <c r="H13" s="53">
        <f>H24/H29</f>
        <v>149.40186915887853</v>
      </c>
      <c r="I13" s="19" t="s">
        <v>48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>
      <c r="A14" s="17">
        <v>45146</v>
      </c>
      <c r="B14" s="18">
        <v>1</v>
      </c>
      <c r="C14" s="49">
        <v>490</v>
      </c>
      <c r="D14" s="49">
        <v>490</v>
      </c>
      <c r="G14" s="19" t="s">
        <v>49</v>
      </c>
      <c r="H14" s="51">
        <v>400</v>
      </c>
      <c r="I14" s="19" t="s">
        <v>50</v>
      </c>
      <c r="J14" s="58">
        <v>5000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>
      <c r="A15" s="17">
        <v>45146</v>
      </c>
      <c r="B15" s="18">
        <v>1</v>
      </c>
      <c r="C15" s="49">
        <v>492.7</v>
      </c>
      <c r="D15" s="49">
        <v>492.7</v>
      </c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</row>
    <row r="16" spans="1:25">
      <c r="A16" s="17">
        <v>45139</v>
      </c>
      <c r="B16" s="18">
        <v>1</v>
      </c>
      <c r="C16" s="49">
        <v>490</v>
      </c>
      <c r="D16" s="49">
        <v>490</v>
      </c>
      <c r="G16" s="19" t="s">
        <v>51</v>
      </c>
      <c r="H16" s="23">
        <v>6.3879999999999999</v>
      </c>
      <c r="I16" s="19" t="s">
        <v>52</v>
      </c>
      <c r="J16" s="19" t="s">
        <v>53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</row>
    <row r="17" spans="2:25" ht="15" customHeight="1">
      <c r="G17" s="19" t="s">
        <v>54</v>
      </c>
      <c r="H17" s="23">
        <v>2.6440000000000001</v>
      </c>
      <c r="I17" s="19" t="s">
        <v>52</v>
      </c>
      <c r="N17" s="31" t="s">
        <v>55</v>
      </c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2:25" ht="15" customHeight="1">
      <c r="G18" s="19" t="s">
        <v>56</v>
      </c>
      <c r="H18" s="23">
        <v>1.4830000000000001</v>
      </c>
      <c r="I18" s="19" t="s">
        <v>52</v>
      </c>
      <c r="N18" s="31" t="s">
        <v>29</v>
      </c>
      <c r="O18" s="39" t="s">
        <v>57</v>
      </c>
      <c r="P18" s="39"/>
      <c r="Q18" s="54">
        <f>H11</f>
        <v>550</v>
      </c>
      <c r="R18" s="39"/>
      <c r="S18" s="39"/>
      <c r="T18" s="39"/>
      <c r="U18" s="39"/>
      <c r="V18" s="39"/>
      <c r="W18" s="39"/>
      <c r="X18" s="39"/>
      <c r="Y18" s="39"/>
    </row>
    <row r="19" spans="2:25" ht="15" customHeight="1">
      <c r="G19" s="19" t="s">
        <v>58</v>
      </c>
      <c r="H19" s="59">
        <f>H18/H16</f>
        <v>0.23215403882279276</v>
      </c>
      <c r="I19" s="19" t="s">
        <v>59</v>
      </c>
      <c r="N19" s="31" t="s">
        <v>42</v>
      </c>
      <c r="O19" s="39" t="s">
        <v>60</v>
      </c>
      <c r="P19" s="39"/>
      <c r="Q19" s="39"/>
      <c r="R19" s="39"/>
      <c r="S19" s="39"/>
      <c r="T19" s="39"/>
      <c r="U19" s="39"/>
      <c r="V19" s="39" t="s">
        <v>61</v>
      </c>
      <c r="W19" s="39"/>
      <c r="X19" s="39"/>
      <c r="Y19" s="39"/>
    </row>
    <row r="20" spans="2:25" ht="15" customHeight="1">
      <c r="G20" s="19" t="s">
        <v>62</v>
      </c>
      <c r="H20" s="24">
        <f>H11/J20</f>
        <v>39.683074848280505</v>
      </c>
      <c r="I20" s="19" t="s">
        <v>63</v>
      </c>
      <c r="J20" s="19">
        <f>H18/H29</f>
        <v>13.859813084112151</v>
      </c>
      <c r="N20" s="31" t="s">
        <v>64</v>
      </c>
      <c r="O20" s="39" t="s">
        <v>65</v>
      </c>
      <c r="P20" s="39"/>
      <c r="Q20" s="39"/>
      <c r="R20" s="39"/>
      <c r="S20" s="39"/>
      <c r="T20" s="39"/>
      <c r="U20" s="39"/>
      <c r="V20" s="39"/>
      <c r="W20" s="39"/>
      <c r="X20" s="39"/>
      <c r="Y20" s="39"/>
    </row>
    <row r="21" spans="2:25" ht="15" customHeight="1">
      <c r="H21" s="19"/>
      <c r="N21" s="31" t="s">
        <v>42</v>
      </c>
      <c r="O21" s="39" t="s">
        <v>66</v>
      </c>
      <c r="P21" s="39"/>
      <c r="Q21" s="39"/>
      <c r="R21" s="39"/>
      <c r="S21" s="39"/>
      <c r="T21" s="39"/>
      <c r="U21" s="39"/>
      <c r="V21" s="39" t="s">
        <v>67</v>
      </c>
      <c r="W21" s="39"/>
      <c r="X21" s="39"/>
      <c r="Y21" s="39"/>
    </row>
    <row r="22" spans="2:25" ht="15" customHeight="1">
      <c r="G22" s="19" t="s">
        <v>68</v>
      </c>
      <c r="H22" s="23">
        <v>28.167000000000002</v>
      </c>
      <c r="I22" s="19" t="s">
        <v>69</v>
      </c>
      <c r="N22" s="31" t="s">
        <v>42</v>
      </c>
      <c r="O22" s="39" t="s">
        <v>70</v>
      </c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2:25" ht="15" customHeight="1">
      <c r="B23" s="60"/>
      <c r="G23" s="19" t="s">
        <v>71</v>
      </c>
      <c r="H23" s="23">
        <v>12.180999999999999</v>
      </c>
      <c r="I23" s="19" t="s">
        <v>69</v>
      </c>
      <c r="N23" s="31" t="s">
        <v>42</v>
      </c>
      <c r="O23" s="39" t="s">
        <v>72</v>
      </c>
      <c r="P23" s="39"/>
      <c r="Q23" s="39"/>
      <c r="R23" s="39"/>
      <c r="S23" s="39"/>
      <c r="T23" s="39"/>
      <c r="U23" s="39"/>
      <c r="V23" s="39"/>
      <c r="W23" s="39"/>
      <c r="X23" s="39"/>
      <c r="Y23" s="39"/>
    </row>
    <row r="24" spans="2:25" ht="15" customHeight="1">
      <c r="G24" s="19" t="s">
        <v>73</v>
      </c>
      <c r="H24" s="22">
        <f>H22-H23</f>
        <v>15.986000000000002</v>
      </c>
      <c r="I24" s="19" t="s">
        <v>69</v>
      </c>
      <c r="N24" s="31" t="s">
        <v>42</v>
      </c>
      <c r="O24" s="39" t="s">
        <v>74</v>
      </c>
      <c r="P24" s="39"/>
      <c r="Q24" s="39"/>
      <c r="R24" s="39"/>
      <c r="S24" s="39"/>
      <c r="T24" s="39"/>
      <c r="U24" s="39"/>
      <c r="V24" s="39" t="s">
        <v>75</v>
      </c>
      <c r="W24" s="39"/>
      <c r="X24" s="39"/>
      <c r="Y24" s="39"/>
    </row>
    <row r="25" spans="2:25" ht="15" customHeight="1">
      <c r="G25" s="19" t="s">
        <v>76</v>
      </c>
      <c r="H25" s="25">
        <f>H22/H23</f>
        <v>2.3123717264592401</v>
      </c>
      <c r="I25" s="19" t="s">
        <v>77</v>
      </c>
      <c r="N25" s="31" t="s">
        <v>29</v>
      </c>
      <c r="O25" s="39" t="s">
        <v>78</v>
      </c>
      <c r="P25" s="39"/>
      <c r="Q25" s="39"/>
      <c r="R25" s="39"/>
      <c r="S25" s="39"/>
      <c r="T25" s="39"/>
      <c r="U25" s="39"/>
      <c r="V25" s="39"/>
      <c r="W25" s="39"/>
      <c r="X25" s="39"/>
      <c r="Y25" s="39"/>
    </row>
    <row r="26" spans="2:25">
      <c r="G26" s="19" t="s">
        <v>79</v>
      </c>
      <c r="H26" s="61">
        <f>H23/H24</f>
        <v>0.76197923182784921</v>
      </c>
      <c r="I26" s="19" t="s">
        <v>80</v>
      </c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</row>
    <row r="27" spans="2:25">
      <c r="H27" s="19"/>
    </row>
    <row r="28" spans="2:25">
      <c r="G28" s="19" t="s">
        <v>81</v>
      </c>
      <c r="H28" s="22">
        <v>60.021999999999998</v>
      </c>
      <c r="I28" s="19" t="s">
        <v>69</v>
      </c>
    </row>
    <row r="29" spans="2:25">
      <c r="G29" s="19" t="s">
        <v>46</v>
      </c>
      <c r="H29" s="23">
        <v>0.107</v>
      </c>
      <c r="I29" s="19" t="s">
        <v>69</v>
      </c>
    </row>
    <row r="30" spans="2:25">
      <c r="G30" s="19" t="s">
        <v>82</v>
      </c>
      <c r="H30" s="59">
        <v>0</v>
      </c>
    </row>
    <row r="33" spans="7:7">
      <c r="G33" s="38" t="s">
        <v>83</v>
      </c>
    </row>
    <row r="34" spans="7:7">
      <c r="G34" s="38" t="s">
        <v>84</v>
      </c>
    </row>
    <row r="36" spans="7:7">
      <c r="G36" s="46" t="s">
        <v>85</v>
      </c>
    </row>
    <row r="37" spans="7:7">
      <c r="G37" s="46" t="s">
        <v>86</v>
      </c>
    </row>
    <row r="38" spans="7:7">
      <c r="G38" s="46" t="s">
        <v>87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abSelected="1" workbookViewId="0">
      <pane xSplit="5" topLeftCell="N1" activePane="topRight" state="frozen"/>
      <selection pane="topRight" activeCell="O28" sqref="O28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41.7109375" style="19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1.5703125" style="19" customWidth="1"/>
    <col min="10" max="12" width="9.140625" style="19" customWidth="1"/>
    <col min="13" max="13" width="2.5703125" style="21" customWidth="1"/>
    <col min="14" max="14" width="9.140625" style="19" customWidth="1"/>
    <col min="15" max="15" width="11.28515625" style="19" bestFit="1" customWidth="1"/>
    <col min="16" max="29" width="9.140625" style="19" customWidth="1"/>
    <col min="30" max="16384" width="9.140625" style="19"/>
  </cols>
  <sheetData>
    <row r="1" spans="1:20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</row>
    <row r="2" spans="1:20" s="14" customFormat="1" ht="15" customHeight="1">
      <c r="A2" s="12"/>
      <c r="B2" s="13"/>
      <c r="C2" s="50"/>
      <c r="D2" s="50"/>
      <c r="H2" s="15"/>
      <c r="M2" s="16"/>
    </row>
    <row r="3" spans="1:20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</row>
    <row r="4" spans="1:20" s="14" customFormat="1" ht="15" customHeight="1">
      <c r="A4" s="12"/>
      <c r="B4" s="13"/>
      <c r="C4" s="50"/>
      <c r="D4" s="50"/>
      <c r="H4" s="15"/>
      <c r="M4" s="16"/>
    </row>
    <row r="5" spans="1:20" ht="15" customHeight="1">
      <c r="A5" s="9">
        <v>45328</v>
      </c>
      <c r="B5" s="10">
        <v>23</v>
      </c>
      <c r="C5" s="55">
        <v>45</v>
      </c>
      <c r="D5" s="55">
        <f>B5*C5</f>
        <v>1035</v>
      </c>
      <c r="G5" s="19" t="s">
        <v>26</v>
      </c>
      <c r="H5" s="20">
        <v>45424</v>
      </c>
      <c r="N5" s="30" t="s">
        <v>27</v>
      </c>
      <c r="P5" s="7"/>
      <c r="Q5" s="7"/>
      <c r="R5" s="7"/>
      <c r="S5" s="7"/>
      <c r="T5" s="7"/>
    </row>
    <row r="6" spans="1:20" ht="15" customHeight="1">
      <c r="A6" s="9">
        <v>45310</v>
      </c>
      <c r="B6" s="10">
        <v>17</v>
      </c>
      <c r="C6" s="55">
        <v>70</v>
      </c>
      <c r="D6" s="55">
        <f>B6*C6</f>
        <v>1190</v>
      </c>
      <c r="G6" s="19" t="s">
        <v>28</v>
      </c>
      <c r="H6" s="22" t="s">
        <v>88</v>
      </c>
      <c r="J6" s="19" t="s">
        <v>89</v>
      </c>
      <c r="N6" s="8" t="s">
        <v>29</v>
      </c>
      <c r="O6" s="19" t="s">
        <v>30</v>
      </c>
      <c r="P6" s="7"/>
      <c r="Q6" s="7"/>
      <c r="R6" s="7"/>
      <c r="S6" s="7"/>
      <c r="T6" s="7"/>
    </row>
    <row r="7" spans="1:20" ht="15" customHeight="1">
      <c r="G7" s="19" t="s">
        <v>31</v>
      </c>
      <c r="H7" s="15" t="s">
        <v>20</v>
      </c>
      <c r="N7" s="8" t="s">
        <v>29</v>
      </c>
      <c r="O7" s="19" t="s">
        <v>34</v>
      </c>
      <c r="P7" s="7"/>
      <c r="Q7" s="7"/>
      <c r="R7" s="7"/>
      <c r="S7" s="7"/>
      <c r="T7" s="7"/>
    </row>
    <row r="8" spans="1:20" ht="15" customHeight="1">
      <c r="G8" s="19" t="s">
        <v>36</v>
      </c>
      <c r="H8" s="62">
        <f>SUM(D2:D217)</f>
        <v>2225</v>
      </c>
      <c r="N8" s="8" t="s">
        <v>29</v>
      </c>
      <c r="O8" s="19" t="s">
        <v>37</v>
      </c>
      <c r="P8" s="7"/>
      <c r="Q8" s="7"/>
      <c r="R8" s="7"/>
      <c r="S8" s="7"/>
      <c r="T8" s="7"/>
    </row>
    <row r="9" spans="1:20" ht="15" customHeight="1">
      <c r="N9" s="8" t="s">
        <v>29</v>
      </c>
      <c r="O9" s="19" t="s">
        <v>39</v>
      </c>
      <c r="P9" s="7"/>
      <c r="Q9" s="7"/>
      <c r="R9" s="7"/>
      <c r="S9" s="7"/>
      <c r="T9" s="7"/>
    </row>
    <row r="10" spans="1:20" ht="15" customHeight="1">
      <c r="N10" s="8" t="s">
        <v>33</v>
      </c>
      <c r="O10" s="19" t="s">
        <v>40</v>
      </c>
      <c r="P10" s="7"/>
      <c r="Q10" s="7"/>
      <c r="R10" s="7"/>
      <c r="S10" s="7"/>
      <c r="T10" s="7"/>
    </row>
    <row r="11" spans="1:20" ht="15" customHeight="1">
      <c r="G11" s="19" t="s">
        <v>41</v>
      </c>
      <c r="H11" s="51">
        <v>52.01</v>
      </c>
      <c r="N11" s="8" t="s">
        <v>42</v>
      </c>
      <c r="O11" s="19" t="s">
        <v>43</v>
      </c>
      <c r="P11" s="7"/>
      <c r="Q11" s="7"/>
      <c r="R11" s="7"/>
      <c r="S11" s="7" t="s">
        <v>44</v>
      </c>
      <c r="T11" s="7"/>
    </row>
    <row r="12" spans="1:20" ht="15" customHeight="1">
      <c r="G12" s="19" t="s">
        <v>45</v>
      </c>
      <c r="H12" s="52">
        <f>SUM(D2:D217)/K12</f>
        <v>55.625</v>
      </c>
      <c r="I12" s="19" t="s">
        <v>46</v>
      </c>
      <c r="K12" s="18">
        <f>SUM(B2:B217)</f>
        <v>40</v>
      </c>
      <c r="N12" s="7"/>
      <c r="P12" s="7"/>
      <c r="Q12" s="7"/>
      <c r="R12" s="7"/>
      <c r="S12" s="7"/>
      <c r="T12" s="7"/>
    </row>
    <row r="13" spans="1:20">
      <c r="G13" s="19" t="s">
        <v>47</v>
      </c>
      <c r="H13" s="51">
        <f>((H25-H26)/H32)</f>
        <v>23.313492063492056</v>
      </c>
      <c r="I13" s="19" t="s">
        <v>90</v>
      </c>
      <c r="K13" s="27">
        <f>H11/H13</f>
        <v>2.2308970212765962</v>
      </c>
      <c r="N13" s="7"/>
      <c r="P13" s="7"/>
      <c r="Q13" s="7"/>
      <c r="R13" s="7"/>
      <c r="S13" s="7"/>
      <c r="T13" s="7"/>
    </row>
    <row r="14" spans="1:20">
      <c r="G14" s="19" t="s">
        <v>49</v>
      </c>
      <c r="H14" s="51">
        <v>35</v>
      </c>
      <c r="I14" s="19" t="s">
        <v>50</v>
      </c>
      <c r="K14" s="58">
        <v>5000</v>
      </c>
      <c r="N14" s="7"/>
      <c r="P14" s="7"/>
      <c r="Q14" s="7"/>
      <c r="R14" s="7"/>
      <c r="S14" s="7"/>
      <c r="T14" s="7"/>
    </row>
    <row r="15" spans="1:20" ht="15" customHeight="1">
      <c r="G15" s="19" t="s">
        <v>91</v>
      </c>
      <c r="H15" s="52">
        <f>H34/H32</f>
        <v>5.8258928571428577</v>
      </c>
      <c r="K15" s="58"/>
      <c r="N15" s="7"/>
      <c r="P15" s="7"/>
      <c r="Q15" s="7"/>
      <c r="R15" s="7"/>
      <c r="S15" s="7"/>
      <c r="T15" s="7"/>
    </row>
    <row r="16" spans="1:20">
      <c r="N16" s="7"/>
      <c r="P16" s="7"/>
      <c r="Q16" s="7"/>
      <c r="R16" s="7"/>
      <c r="S16" s="7"/>
      <c r="T16" s="7"/>
    </row>
    <row r="17" spans="7:20">
      <c r="H17" s="22" t="s">
        <v>92</v>
      </c>
      <c r="I17" s="19" t="s">
        <v>93</v>
      </c>
      <c r="N17" s="7"/>
      <c r="P17" s="7"/>
      <c r="Q17" s="7"/>
      <c r="R17" s="7"/>
      <c r="S17" s="7"/>
      <c r="T17" s="7"/>
    </row>
    <row r="18" spans="7:20">
      <c r="G18" s="19" t="s">
        <v>51</v>
      </c>
      <c r="H18" s="63">
        <v>1.68</v>
      </c>
      <c r="I18" s="64"/>
      <c r="J18" s="19" t="s">
        <v>94</v>
      </c>
      <c r="N18" s="7"/>
      <c r="P18" s="7"/>
      <c r="Q18" s="7"/>
      <c r="R18" s="7"/>
      <c r="S18" s="7"/>
      <c r="T18" s="7"/>
    </row>
    <row r="19" spans="7:20" ht="15" customHeight="1">
      <c r="G19" s="19" t="s">
        <v>54</v>
      </c>
      <c r="H19" s="63">
        <v>0.36599999999999999</v>
      </c>
      <c r="I19" s="64"/>
      <c r="J19" s="19" t="s">
        <v>94</v>
      </c>
      <c r="N19" s="30" t="s">
        <v>55</v>
      </c>
      <c r="P19" s="7"/>
      <c r="Q19" s="7"/>
      <c r="R19" s="7"/>
      <c r="S19" s="7"/>
      <c r="T19" s="7"/>
    </row>
    <row r="20" spans="7:20" ht="15" customHeight="1">
      <c r="G20" s="19" t="s">
        <v>56</v>
      </c>
      <c r="H20" s="63">
        <v>6.8809999999999996E-2</v>
      </c>
      <c r="I20" s="64"/>
      <c r="J20" s="19" t="s">
        <v>94</v>
      </c>
      <c r="N20" s="8" t="s">
        <v>29</v>
      </c>
      <c r="O20" s="19" t="s">
        <v>57</v>
      </c>
      <c r="P20" s="7"/>
      <c r="Q20" s="55">
        <f>H11</f>
        <v>52.01</v>
      </c>
      <c r="R20" s="7"/>
      <c r="S20" s="7"/>
      <c r="T20" s="7"/>
    </row>
    <row r="21" spans="7:20" ht="15" customHeight="1">
      <c r="G21" s="19" t="s">
        <v>95</v>
      </c>
      <c r="H21" s="59">
        <f>H20/H18</f>
        <v>4.0958333333333333E-2</v>
      </c>
      <c r="I21" s="65"/>
      <c r="J21" s="28" t="s">
        <v>96</v>
      </c>
      <c r="N21" s="8" t="s">
        <v>42</v>
      </c>
      <c r="O21" s="19" t="s">
        <v>60</v>
      </c>
      <c r="P21" s="7"/>
      <c r="Q21" s="7"/>
      <c r="R21" s="7"/>
      <c r="S21" s="7"/>
      <c r="T21" s="7" t="s">
        <v>97</v>
      </c>
    </row>
    <row r="22" spans="7:20" ht="15" customHeight="1">
      <c r="G22" s="23" t="s">
        <v>63</v>
      </c>
      <c r="H22" s="26">
        <f>H20/H$32</f>
        <v>4.2664930555555554</v>
      </c>
      <c r="I22" s="29"/>
      <c r="N22" s="8" t="s">
        <v>42</v>
      </c>
      <c r="O22" s="19" t="s">
        <v>65</v>
      </c>
      <c r="P22" s="7"/>
      <c r="Q22" s="7"/>
      <c r="R22" s="7"/>
      <c r="S22" s="7"/>
      <c r="T22" s="7"/>
    </row>
    <row r="23" spans="7:20" ht="15" customHeight="1">
      <c r="G23" s="19" t="s">
        <v>62</v>
      </c>
      <c r="H23" s="24">
        <f>H11/H22</f>
        <v>12.190339776195321</v>
      </c>
      <c r="I23" s="24">
        <v>14.41</v>
      </c>
      <c r="J23" s="28"/>
      <c r="K23" s="27"/>
      <c r="N23" s="8"/>
      <c r="P23" s="7"/>
      <c r="Q23" s="7"/>
      <c r="R23" s="7"/>
      <c r="S23" s="7"/>
      <c r="T23" s="7"/>
    </row>
    <row r="24" spans="7:20" ht="15" customHeight="1">
      <c r="H24" s="19"/>
      <c r="N24" s="8" t="s">
        <v>42</v>
      </c>
      <c r="O24" s="19" t="s">
        <v>66</v>
      </c>
      <c r="P24" s="7"/>
      <c r="Q24" s="7"/>
      <c r="R24" s="7"/>
      <c r="S24" s="7"/>
      <c r="T24" s="7"/>
    </row>
    <row r="25" spans="7:20" ht="15" customHeight="1">
      <c r="G25" s="19" t="s">
        <v>68</v>
      </c>
      <c r="H25" s="26">
        <v>1.1839999999999999</v>
      </c>
      <c r="I25" s="19" t="s">
        <v>94</v>
      </c>
      <c r="N25" s="8" t="s">
        <v>33</v>
      </c>
      <c r="O25" s="19" t="s">
        <v>70</v>
      </c>
      <c r="P25" s="7"/>
      <c r="Q25" s="7"/>
      <c r="R25" s="7"/>
      <c r="S25" s="7"/>
      <c r="T25" s="7"/>
    </row>
    <row r="26" spans="7:20" ht="15" customHeight="1">
      <c r="G26" s="19" t="s">
        <v>71</v>
      </c>
      <c r="H26" s="26">
        <v>0.80800000000000005</v>
      </c>
      <c r="I26" s="19" t="s">
        <v>94</v>
      </c>
      <c r="N26" s="8" t="s">
        <v>33</v>
      </c>
      <c r="O26" s="19" t="s">
        <v>72</v>
      </c>
      <c r="P26" s="7"/>
      <c r="Q26" s="7"/>
      <c r="R26" s="7"/>
      <c r="S26" s="7"/>
      <c r="T26" s="7"/>
    </row>
    <row r="27" spans="7:20" ht="15" customHeight="1">
      <c r="G27" s="19" t="s">
        <v>98</v>
      </c>
      <c r="H27" s="26">
        <f>H25-H26</f>
        <v>0.37599999999999989</v>
      </c>
      <c r="I27" s="19" t="s">
        <v>94</v>
      </c>
      <c r="N27" s="8" t="s">
        <v>42</v>
      </c>
      <c r="O27" s="19" t="s">
        <v>74</v>
      </c>
      <c r="P27" s="7"/>
      <c r="Q27" s="7"/>
      <c r="R27" s="7"/>
      <c r="S27" s="7"/>
      <c r="T27" s="7"/>
    </row>
    <row r="28" spans="7:20" ht="15" customHeight="1">
      <c r="G28" s="19" t="s">
        <v>76</v>
      </c>
      <c r="H28" s="25">
        <f>H25/H26</f>
        <v>1.4653465346534651</v>
      </c>
      <c r="I28" s="19" t="s">
        <v>77</v>
      </c>
      <c r="N28" s="8" t="s">
        <v>42</v>
      </c>
      <c r="O28" s="19" t="s">
        <v>78</v>
      </c>
      <c r="P28" s="7"/>
      <c r="Q28" s="7"/>
      <c r="R28" s="7"/>
      <c r="S28" s="7"/>
      <c r="T28" s="7"/>
    </row>
    <row r="29" spans="7:20">
      <c r="G29" s="19" t="s">
        <v>79</v>
      </c>
      <c r="H29" s="11">
        <f>H26/H27</f>
        <v>2.1489361702127665</v>
      </c>
      <c r="I29" s="19" t="s">
        <v>99</v>
      </c>
      <c r="N29" s="7"/>
      <c r="P29" s="7"/>
      <c r="Q29" s="7"/>
      <c r="R29" s="7"/>
      <c r="S29" s="7"/>
      <c r="T29" s="7"/>
    </row>
    <row r="31" spans="7:20">
      <c r="G31" s="19" t="s">
        <v>81</v>
      </c>
      <c r="H31" s="66">
        <v>0.82843</v>
      </c>
      <c r="I31" s="19" t="s">
        <v>94</v>
      </c>
    </row>
    <row r="32" spans="7:20">
      <c r="G32" s="19" t="s">
        <v>46</v>
      </c>
      <c r="H32" s="63">
        <v>1.6128E-2</v>
      </c>
      <c r="I32" s="19" t="s">
        <v>94</v>
      </c>
    </row>
    <row r="33" spans="7:17">
      <c r="G33" s="19" t="s">
        <v>82</v>
      </c>
      <c r="H33" s="59">
        <v>0</v>
      </c>
      <c r="O33" s="67"/>
    </row>
    <row r="34" spans="7:17">
      <c r="G34" s="19" t="s">
        <v>100</v>
      </c>
      <c r="H34" s="22">
        <v>9.3960000000000002E-2</v>
      </c>
      <c r="I34" s="19" t="s">
        <v>94</v>
      </c>
    </row>
    <row r="35" spans="7:17">
      <c r="G35" s="38" t="s">
        <v>83</v>
      </c>
      <c r="H35" s="19"/>
    </row>
    <row r="36" spans="7:17">
      <c r="G36" s="38" t="s">
        <v>84</v>
      </c>
    </row>
    <row r="38" spans="7:17">
      <c r="G38" s="46" t="s">
        <v>85</v>
      </c>
    </row>
    <row r="39" spans="7:17">
      <c r="G39" s="46" t="s">
        <v>86</v>
      </c>
    </row>
    <row r="40" spans="7:17">
      <c r="G40" s="46" t="s">
        <v>87</v>
      </c>
    </row>
    <row r="43" spans="7:17">
      <c r="G43" s="19" t="s">
        <v>101</v>
      </c>
    </row>
    <row r="45" spans="7:17">
      <c r="G45" s="4" t="s">
        <v>102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 customHeight="1">
      <c r="G47" t="s">
        <v>103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 customHeight="1">
      <c r="G48" t="s">
        <v>104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 customHeight="1">
      <c r="G49" t="s">
        <v>105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 customHeight="1">
      <c r="G50" t="s">
        <v>106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 customHeight="1">
      <c r="G51" t="s">
        <v>107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 customHeight="1">
      <c r="G52" t="s">
        <v>108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 customHeight="1">
      <c r="G53" t="s">
        <v>109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110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111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 customHeight="1"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8:J16"/>
  <sheetViews>
    <sheetView zoomScale="85" zoomScaleNormal="85" workbookViewId="0">
      <selection activeCell="E14" sqref="E14"/>
    </sheetView>
  </sheetViews>
  <sheetFormatPr baseColWidth="10" defaultRowHeight="15"/>
  <sheetData>
    <row r="8" spans="2:10">
      <c r="B8" t="s">
        <v>112</v>
      </c>
      <c r="C8" s="48" t="s">
        <v>113</v>
      </c>
    </row>
    <row r="15" spans="2:10">
      <c r="G15" s="47"/>
      <c r="J15" s="47"/>
    </row>
    <row r="16" spans="2:10">
      <c r="G16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3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Stocks">
                <anchor moveWithCells="1" sizeWithCells="1">
                  <from>
                    <xdr:col>4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"/>
  <sheetViews>
    <sheetView workbookViewId="0">
      <selection activeCell="C24" sqref="C23:C24"/>
    </sheetView>
  </sheetViews>
  <sheetFormatPr baseColWidth="10" defaultColWidth="9.140625" defaultRowHeight="15"/>
  <sheetData>
    <row r="1" spans="1:15">
      <c r="A1" s="68" t="s">
        <v>21</v>
      </c>
      <c r="B1" s="68" t="s">
        <v>22</v>
      </c>
      <c r="C1" s="68" t="s">
        <v>9</v>
      </c>
      <c r="D1" s="68" t="s">
        <v>23</v>
      </c>
    </row>
    <row r="5" spans="1:15">
      <c r="G5" t="s">
        <v>114</v>
      </c>
      <c r="N5" s="68" t="s">
        <v>27</v>
      </c>
    </row>
    <row r="6" spans="1:15">
      <c r="G6" t="s">
        <v>115</v>
      </c>
      <c r="O6" s="69" t="s">
        <v>30</v>
      </c>
    </row>
    <row r="7" spans="1:15">
      <c r="G7" t="s">
        <v>116</v>
      </c>
      <c r="O7" s="69" t="s">
        <v>34</v>
      </c>
    </row>
    <row r="8" spans="1:15">
      <c r="G8" t="s">
        <v>36</v>
      </c>
      <c r="O8" s="69" t="s">
        <v>37</v>
      </c>
    </row>
    <row r="9" spans="1:15">
      <c r="O9" s="69" t="s">
        <v>39</v>
      </c>
    </row>
    <row r="10" spans="1:15">
      <c r="O10" s="69" t="s">
        <v>40</v>
      </c>
    </row>
    <row r="11" spans="1:15">
      <c r="G11" t="s">
        <v>41</v>
      </c>
      <c r="O11" s="69" t="s">
        <v>117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6" spans="1:15">
      <c r="G16" t="s">
        <v>118</v>
      </c>
    </row>
    <row r="17" spans="7:15">
      <c r="G17" t="s">
        <v>54</v>
      </c>
      <c r="N17" s="68" t="s">
        <v>55</v>
      </c>
    </row>
    <row r="18" spans="7:15">
      <c r="G18" t="s">
        <v>119</v>
      </c>
      <c r="O18" s="69" t="s">
        <v>57</v>
      </c>
    </row>
    <row r="19" spans="7:15">
      <c r="G19" t="s">
        <v>58</v>
      </c>
      <c r="O19" s="69" t="s">
        <v>60</v>
      </c>
    </row>
    <row r="20" spans="7:15">
      <c r="G20" t="s">
        <v>62</v>
      </c>
      <c r="O20" s="69" t="s">
        <v>66</v>
      </c>
    </row>
    <row r="21" spans="7:15">
      <c r="O21" s="69" t="s">
        <v>70</v>
      </c>
    </row>
    <row r="22" spans="7:15">
      <c r="G22" t="s">
        <v>68</v>
      </c>
      <c r="O22" s="69" t="s">
        <v>72</v>
      </c>
    </row>
    <row r="23" spans="7:15">
      <c r="G23" t="s">
        <v>71</v>
      </c>
      <c r="O23" s="69" t="s">
        <v>78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79</v>
      </c>
    </row>
    <row r="28" spans="7:15">
      <c r="G28" t="s">
        <v>81</v>
      </c>
    </row>
    <row r="29" spans="7:15">
      <c r="G29" t="s">
        <v>46</v>
      </c>
    </row>
    <row r="30" spans="7:15">
      <c r="G30" t="s">
        <v>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SUMMARY</vt:lpstr>
      <vt:lpstr>ROP</vt:lpstr>
      <vt:lpstr>DXPE</vt:lpstr>
      <vt:lpstr>Functions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2024-09-14T02:17:53Z</dcterms:modified>
</cp:coreProperties>
</file>